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yue\Desktop\class\Gator Quant Hacks\Quant-Hacks-Repo\"/>
    </mc:Choice>
  </mc:AlternateContent>
  <xr:revisionPtr revIDLastSave="0" documentId="13_ncr:9_{22DA0EE4-61CA-4E3C-B621-DF722DC6B464}" xr6:coauthVersionLast="47" xr6:coauthVersionMax="47" xr10:uidLastSave="{00000000-0000-0000-0000-000000000000}"/>
  <bookViews>
    <workbookView xWindow="-108" yWindow="-108" windowWidth="23256" windowHeight="13896" xr2:uid="{B076BBF3-6F88-44FB-A76F-A81E00C3B2CD}"/>
  </bookViews>
  <sheets>
    <sheet name="2000Year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5" i="2"/>
  <c r="C4" i="2"/>
  <c r="C3" i="2"/>
  <c r="C2" i="2"/>
  <c r="N73" i="1"/>
  <c r="N71" i="1"/>
  <c r="N63" i="1"/>
  <c r="N56" i="1"/>
  <c r="N55" i="1"/>
  <c r="N48" i="1"/>
  <c r="N40" i="1"/>
  <c r="N38" i="1"/>
  <c r="N32" i="1"/>
  <c r="N30" i="1"/>
  <c r="N24" i="1"/>
  <c r="N22" i="1"/>
  <c r="N16" i="1"/>
  <c r="N14" i="1"/>
  <c r="B4" i="2" s="1"/>
  <c r="N8" i="1"/>
  <c r="B6" i="2" s="1"/>
  <c r="N6" i="1"/>
  <c r="B3" i="2"/>
  <c r="B9" i="2"/>
  <c r="B8" i="2"/>
  <c r="B10" i="2"/>
  <c r="B2" i="2"/>
  <c r="B5" i="2"/>
  <c r="B7" i="2"/>
</calcChain>
</file>

<file path=xl/sharedStrings.xml><?xml version="1.0" encoding="utf-8"?>
<sst xmlns="http://schemas.openxmlformats.org/spreadsheetml/2006/main" count="248" uniqueCount="104">
  <si>
    <t>Source</t>
  </si>
  <si>
    <t>Destination</t>
  </si>
  <si>
    <t>Pair</t>
  </si>
  <si>
    <t>Delay_Min</t>
  </si>
  <si>
    <t>Delay_Max</t>
  </si>
  <si>
    <t>Delay_Mean</t>
  </si>
  <si>
    <t>Delay_Median</t>
  </si>
  <si>
    <t>Direct_Loss_Min_Pct</t>
  </si>
  <si>
    <t>Direct_Loss_Max_Pct</t>
  </si>
  <si>
    <t>Direct_Loss_Mean_Pct</t>
  </si>
  <si>
    <t>Direct_Loss_Median_Pct</t>
  </si>
  <si>
    <t>Backbone_Loss_Min_Pct</t>
  </si>
  <si>
    <t>Backbone_Loss_Max_Pct</t>
  </si>
  <si>
    <t>Backbone_Loss_Mean_Pct</t>
  </si>
  <si>
    <t>Backbone_Loss_Median_Pct</t>
  </si>
  <si>
    <t>Total_Attempts</t>
  </si>
  <si>
    <t>Failed_Attempts</t>
  </si>
  <si>
    <t>Blackout_Loss_Pct</t>
  </si>
  <si>
    <t>MultiHop_Reroutes</t>
  </si>
  <si>
    <t>Reroute_Pct</t>
  </si>
  <si>
    <t>Mercury</t>
  </si>
  <si>
    <t>Venus</t>
  </si>
  <si>
    <t>Mercury-Venus</t>
  </si>
  <si>
    <t>Earth</t>
  </si>
  <si>
    <t>Mercury-Earth</t>
  </si>
  <si>
    <t>Mars</t>
  </si>
  <si>
    <t>Mercury-Mars</t>
  </si>
  <si>
    <t>Ceres</t>
  </si>
  <si>
    <t>Mercury-Ceres</t>
  </si>
  <si>
    <t>Jupiter</t>
  </si>
  <si>
    <t>Mercury-Jupiter</t>
  </si>
  <si>
    <t>Saturn</t>
  </si>
  <si>
    <t>Mercury-Saturn</t>
  </si>
  <si>
    <t>Uranus</t>
  </si>
  <si>
    <t>Mercury-Uranus</t>
  </si>
  <si>
    <t>Neptune</t>
  </si>
  <si>
    <t>Mercury-Neptune</t>
  </si>
  <si>
    <t>Venus-Mercury</t>
  </si>
  <si>
    <t>Venus-Earth</t>
  </si>
  <si>
    <t>Venus-Mars</t>
  </si>
  <si>
    <t>Venus-Ceres</t>
  </si>
  <si>
    <t>Venus-Jupiter</t>
  </si>
  <si>
    <t>Venus-Saturn</t>
  </si>
  <si>
    <t>Venus-Uranus</t>
  </si>
  <si>
    <t>Venus-Neptune</t>
  </si>
  <si>
    <t>Earth-Mercury</t>
  </si>
  <si>
    <t>Earth-Venus</t>
  </si>
  <si>
    <t>Earth-Mars</t>
  </si>
  <si>
    <t>Earth-Ceres</t>
  </si>
  <si>
    <t>Earth-Jupiter</t>
  </si>
  <si>
    <t>Earth-Saturn</t>
  </si>
  <si>
    <t>Earth-Uranus</t>
  </si>
  <si>
    <t>Earth-Neptune</t>
  </si>
  <si>
    <t>Mars-Mercury</t>
  </si>
  <si>
    <t>Mars-Venus</t>
  </si>
  <si>
    <t>Mars-Earth</t>
  </si>
  <si>
    <t>Mars-Ceres</t>
  </si>
  <si>
    <t>Mars-Jupiter</t>
  </si>
  <si>
    <t>Mars-Saturn</t>
  </si>
  <si>
    <t>Mars-Uranus</t>
  </si>
  <si>
    <t>Mars-Neptune</t>
  </si>
  <si>
    <t>Ceres-Mercury</t>
  </si>
  <si>
    <t>Ceres-Venus</t>
  </si>
  <si>
    <t>Ceres-Earth</t>
  </si>
  <si>
    <t>Ceres-Mars</t>
  </si>
  <si>
    <t>Ceres-Jupiter</t>
  </si>
  <si>
    <t>Ceres-Saturn</t>
  </si>
  <si>
    <t>Ceres-Uranus</t>
  </si>
  <si>
    <t>Ceres-Neptune</t>
  </si>
  <si>
    <t>Jupiter-Mercury</t>
  </si>
  <si>
    <t>Jupiter-Venus</t>
  </si>
  <si>
    <t>Jupiter-Earth</t>
  </si>
  <si>
    <t>Jupiter-Mars</t>
  </si>
  <si>
    <t>Jupiter-Ceres</t>
  </si>
  <si>
    <t>Jupiter-Saturn</t>
  </si>
  <si>
    <t>Jupiter-Uranus</t>
  </si>
  <si>
    <t>Jupiter-Neptune</t>
  </si>
  <si>
    <t>Saturn-Mercury</t>
  </si>
  <si>
    <t>Saturn-Venus</t>
  </si>
  <si>
    <t>Saturn-Earth</t>
  </si>
  <si>
    <t>Saturn-Mars</t>
  </si>
  <si>
    <t>Saturn-Ceres</t>
  </si>
  <si>
    <t>Saturn-Jupiter</t>
  </si>
  <si>
    <t>Saturn-Uranus</t>
  </si>
  <si>
    <t>Saturn-Neptune</t>
  </si>
  <si>
    <t>Uranus-Mercury</t>
  </si>
  <si>
    <t>Uranus-Venus</t>
  </si>
  <si>
    <t>Uranus-Earth</t>
  </si>
  <si>
    <t>Uranus-Mars</t>
  </si>
  <si>
    <t>Uranus-Ceres</t>
  </si>
  <si>
    <t>Uranus-Jupiter</t>
  </si>
  <si>
    <t>Uranus-Saturn</t>
  </si>
  <si>
    <t>Uranus-Neptune</t>
  </si>
  <si>
    <t>Neptune-Mercury</t>
  </si>
  <si>
    <t>Neptune-Venus</t>
  </si>
  <si>
    <t>Neptune-Earth</t>
  </si>
  <si>
    <t>Neptune-Mars</t>
  </si>
  <si>
    <t>Neptune-Ceres</t>
  </si>
  <si>
    <t>Neptune-Jupiter</t>
  </si>
  <si>
    <t>Neptune-Saturn</t>
  </si>
  <si>
    <t>Neptune-Uranus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</si>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</sst>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D0D01B-D6FA-47D7-8963-CB24BF56651A}" name="more_pain_suffering" displayName="more_pain_suffering" ref="A1:T73" totalsRowShown="0">
  <autoFilter ref="A1:T73" xr:uid="{31D0D01B-D6FA-47D7-8963-CB24BF56651A}"/>
  <sortState xmlns:xlrd2="http://schemas.microsoft.com/office/spreadsheetml/2017/richdata2" ref="A2:T73">
    <sortCondition ref="A1:A73"/>
  </sortState>
  <tableColumns count="20">
    <tableColumn id="1" xr3:uid="{827D4723-AAEF-48B9-80AC-069C1E7B8FEE}" name="Source"/>
    <tableColumn id="2" xr3:uid="{F0FADD38-012A-4C49-BD45-FF28FD0D7D11}" name="Destination"/>
    <tableColumn id="3" xr3:uid="{352EFF67-B0D5-4DB7-80C3-A29CA93C8E02}" name="Pair"/>
    <tableColumn id="4" xr3:uid="{A2EDFBDB-4910-4A84-A53F-8597B7038B91}" name="Delay_Min"/>
    <tableColumn id="5" xr3:uid="{9896637B-BADC-43EA-B139-50C7F4CE2837}" name="Delay_Max"/>
    <tableColumn id="6" xr3:uid="{4D63F274-8671-4FBB-ADAB-3160833867D5}" name="Delay_Mean"/>
    <tableColumn id="7" xr3:uid="{534C8843-7776-4C0D-9320-C1908A996A71}" name="Delay_Median"/>
    <tableColumn id="8" xr3:uid="{6C769400-9F67-4621-A137-24328EC7CD75}" name="Direct_Loss_Min_Pct" dataDxfId="9"/>
    <tableColumn id="9" xr3:uid="{D83DB2AD-4F46-43BA-83EF-80FFF8D63CED}" name="Direct_Loss_Max_Pct" dataDxfId="8"/>
    <tableColumn id="10" xr3:uid="{4AE76A20-E738-47D6-9DE8-DD3FA64B404B}" name="Direct_Loss_Mean_Pct" dataDxfId="7"/>
    <tableColumn id="11" xr3:uid="{85C371AE-FD8D-460B-984C-7847FE44D706}" name="Direct_Loss_Median_Pct" dataDxfId="6"/>
    <tableColumn id="12" xr3:uid="{3E4F9C7A-EE37-4053-BD2D-4462153DE266}" name="Backbone_Loss_Min_Pct" dataDxfId="5"/>
    <tableColumn id="13" xr3:uid="{1889D0B0-13DC-48CD-B28F-C1D56A9EF855}" name="Backbone_Loss_Max_Pct" dataDxfId="4"/>
    <tableColumn id="14" xr3:uid="{F2217387-A6C9-4F51-BEAE-FFBE5FE4FAFB}" name="Backbone_Loss_Mean_Pct" dataDxfId="3"/>
    <tableColumn id="15" xr3:uid="{E676BD5C-88EC-4C9E-842D-515B229EF705}" name="Backbone_Loss_Median_Pct" dataDxfId="2"/>
    <tableColumn id="16" xr3:uid="{11A4EDA8-E4F8-42BA-A2D9-7B09BF66F8D4}" name="Total_Attempts"/>
    <tableColumn id="17" xr3:uid="{C9E4FBAD-86D9-4017-8007-2E1ABB16143E}" name="Failed_Attempts"/>
    <tableColumn id="18" xr3:uid="{9DAC47A0-5AF5-414B-9D2E-34C2A90BBE01}" name="Blackout_Loss_Pct" dataDxfId="1"/>
    <tableColumn id="19" xr3:uid="{4354575B-94B2-4C19-B308-A13D582E8BDC}" name="MultiHop_Reroutes"/>
    <tableColumn id="20" xr3:uid="{D3E907CC-D43A-42C6-B21D-D837196A568A}" name="Reroute_Pct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58CB0A-7007-4792-AF62-92D617114714}" name="less_pain?" displayName="less_pain?" ref="A1:C10" totalsRowShown="0">
  <autoFilter ref="A1:C10" xr:uid="{E358CB0A-7007-4792-AF62-92D617114714}"/>
  <sortState xmlns:xlrd2="http://schemas.microsoft.com/office/spreadsheetml/2017/richdata2" ref="A2:B10">
    <sortCondition ref="B1:B10"/>
  </sortState>
  <tableColumns count="3">
    <tableColumn id="1" xr3:uid="{FB32E459-4AAD-47F6-ACF9-DF80FAE365B0}" name="Column1"/>
    <tableColumn id="2" xr3:uid="{0497816E-0A85-4E8B-8CA7-26D33F89E139}" name="Column2"/>
    <tableColumn id="3" xr3:uid="{1398F00B-D8EF-420D-8CCA-796EC638B48E}" name="Column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9125-7CB6-4D41-AD47-CD95F9329942}">
  <dimension ref="A1:T73"/>
  <sheetViews>
    <sheetView tabSelected="1" zoomScale="90" workbookViewId="0">
      <selection activeCell="G16" sqref="G16"/>
    </sheetView>
  </sheetViews>
  <sheetFormatPr defaultRowHeight="14.4" x14ac:dyDescent="0.3"/>
  <cols>
    <col min="2" max="2" width="12" customWidth="1"/>
    <col min="3" max="3" width="15.21875" bestFit="1" customWidth="1"/>
    <col min="4" max="4" width="11" customWidth="1"/>
    <col min="5" max="5" width="11.33203125" customWidth="1"/>
    <col min="6" max="6" width="12.5546875" customWidth="1"/>
    <col min="7" max="7" width="14" customWidth="1"/>
    <col min="8" max="8" width="19.33203125" customWidth="1"/>
    <col min="9" max="9" width="19.6640625" customWidth="1"/>
    <col min="10" max="10" width="20.88671875" customWidth="1"/>
    <col min="11" max="11" width="22.33203125" customWidth="1"/>
    <col min="12" max="12" width="22.44140625" customWidth="1"/>
    <col min="13" max="13" width="22.77734375" customWidth="1"/>
    <col min="14" max="14" width="24" customWidth="1"/>
    <col min="15" max="15" width="25.44140625" customWidth="1"/>
    <col min="16" max="16" width="14.77734375" customWidth="1"/>
    <col min="17" max="17" width="15.77734375" customWidth="1"/>
    <col min="18" max="18" width="17.77734375" customWidth="1"/>
    <col min="19" max="19" width="18.109375" customWidth="1"/>
    <col min="20" max="20" width="21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27</v>
      </c>
      <c r="B2" t="s">
        <v>23</v>
      </c>
      <c r="C2" t="s">
        <v>63</v>
      </c>
      <c r="D2">
        <v>14.71</v>
      </c>
      <c r="E2">
        <v>36.619999999999997</v>
      </c>
      <c r="F2">
        <v>23.82</v>
      </c>
      <c r="G2">
        <v>24.48</v>
      </c>
      <c r="H2" s="1">
        <v>0.1318</v>
      </c>
      <c r="I2" s="1">
        <v>0.28210000000000002</v>
      </c>
      <c r="J2" s="1">
        <v>0.20300000000000001</v>
      </c>
      <c r="K2" s="1">
        <v>0.20930000000000001</v>
      </c>
      <c r="L2" s="1">
        <v>7.4899999999999994E-2</v>
      </c>
      <c r="M2" s="1">
        <v>8.4199999999999997E-2</v>
      </c>
      <c r="N2" s="1">
        <v>7.6399999999999996E-2</v>
      </c>
      <c r="O2" s="1">
        <v>7.6200000000000004E-2</v>
      </c>
      <c r="P2">
        <v>730000</v>
      </c>
      <c r="Q2">
        <v>0</v>
      </c>
      <c r="R2" s="1">
        <v>0</v>
      </c>
      <c r="S2">
        <v>31667</v>
      </c>
      <c r="T2" s="1">
        <v>4.3400000000000001E-2</v>
      </c>
    </row>
    <row r="3" spans="1:20" x14ac:dyDescent="0.3">
      <c r="A3" t="s">
        <v>27</v>
      </c>
      <c r="B3" t="s">
        <v>29</v>
      </c>
      <c r="C3" t="s">
        <v>65</v>
      </c>
      <c r="D3">
        <v>20.28</v>
      </c>
      <c r="E3">
        <v>68.41</v>
      </c>
      <c r="F3">
        <v>46.44</v>
      </c>
      <c r="G3">
        <v>49.07</v>
      </c>
      <c r="H3" s="1">
        <v>0.17710000000000001</v>
      </c>
      <c r="I3" s="1">
        <v>0.48199999999999998</v>
      </c>
      <c r="J3" s="1">
        <v>0.35210000000000002</v>
      </c>
      <c r="K3" s="1">
        <v>0.37540000000000001</v>
      </c>
      <c r="L3" s="1">
        <v>0.14729999999999999</v>
      </c>
      <c r="M3" s="1">
        <v>0.3624</v>
      </c>
      <c r="N3" s="1">
        <v>0.14799999999999999</v>
      </c>
      <c r="O3" s="1">
        <v>0.14760000000000001</v>
      </c>
      <c r="P3">
        <v>730000</v>
      </c>
      <c r="Q3">
        <v>0</v>
      </c>
      <c r="R3" s="1">
        <v>0</v>
      </c>
      <c r="S3">
        <v>12882</v>
      </c>
      <c r="T3" s="1">
        <v>1.7600000000000001E-2</v>
      </c>
    </row>
    <row r="4" spans="1:20" x14ac:dyDescent="0.3">
      <c r="A4" t="s">
        <v>27</v>
      </c>
      <c r="B4" t="s">
        <v>25</v>
      </c>
      <c r="C4" t="s">
        <v>64</v>
      </c>
      <c r="D4">
        <v>10.36</v>
      </c>
      <c r="E4">
        <v>38.51</v>
      </c>
      <c r="F4">
        <v>24.82</v>
      </c>
      <c r="G4">
        <v>26.27</v>
      </c>
      <c r="H4" s="1">
        <v>9.4700000000000006E-2</v>
      </c>
      <c r="I4" s="1">
        <v>0.30880000000000002</v>
      </c>
      <c r="J4" s="1">
        <v>0.2089</v>
      </c>
      <c r="K4" s="1">
        <v>0.22239999999999999</v>
      </c>
      <c r="L4" s="1">
        <v>8.2100000000000006E-2</v>
      </c>
      <c r="M4" s="1">
        <v>0.20649999999999999</v>
      </c>
      <c r="N4" s="1">
        <v>8.3900000000000002E-2</v>
      </c>
      <c r="O4" s="1">
        <v>8.2900000000000001E-2</v>
      </c>
      <c r="P4">
        <v>730000</v>
      </c>
      <c r="Q4">
        <v>0</v>
      </c>
      <c r="R4" s="1">
        <v>0</v>
      </c>
      <c r="S4">
        <v>23645</v>
      </c>
      <c r="T4" s="1">
        <v>3.2399999999999998E-2</v>
      </c>
    </row>
    <row r="5" spans="1:20" x14ac:dyDescent="0.3">
      <c r="A5" t="s">
        <v>27</v>
      </c>
      <c r="B5" t="s">
        <v>20</v>
      </c>
      <c r="C5" t="s">
        <v>61</v>
      </c>
      <c r="D5">
        <v>19.809999999999999</v>
      </c>
      <c r="E5">
        <v>36.93</v>
      </c>
      <c r="F5">
        <v>23.41</v>
      </c>
      <c r="G5">
        <v>23.25</v>
      </c>
      <c r="H5" s="1">
        <v>0.1734</v>
      </c>
      <c r="I5" s="1">
        <v>0.29520000000000002</v>
      </c>
      <c r="J5" s="1">
        <v>0.19980000000000001</v>
      </c>
      <c r="K5" s="1">
        <v>0.19900000000000001</v>
      </c>
      <c r="L5" s="1">
        <v>6.0900000000000003E-2</v>
      </c>
      <c r="M5" s="1">
        <v>0.16889999999999999</v>
      </c>
      <c r="N5" s="1">
        <v>6.6799999999999998E-2</v>
      </c>
      <c r="O5" s="1">
        <v>6.5799999999999997E-2</v>
      </c>
      <c r="P5">
        <v>730000</v>
      </c>
      <c r="Q5">
        <v>0</v>
      </c>
      <c r="R5" s="1">
        <v>0</v>
      </c>
      <c r="S5">
        <v>69115</v>
      </c>
      <c r="T5" s="1">
        <v>9.4700000000000006E-2</v>
      </c>
    </row>
    <row r="6" spans="1:20" x14ac:dyDescent="0.3">
      <c r="A6" t="s">
        <v>27</v>
      </c>
      <c r="B6" t="s">
        <v>35</v>
      </c>
      <c r="C6" t="s">
        <v>68</v>
      </c>
      <c r="D6">
        <v>227.08</v>
      </c>
      <c r="E6">
        <v>274.39999999999998</v>
      </c>
      <c r="F6">
        <v>250.63</v>
      </c>
      <c r="G6">
        <v>251.15</v>
      </c>
      <c r="H6" s="1">
        <v>0.88739999999999997</v>
      </c>
      <c r="I6" s="1">
        <v>0.92859999999999998</v>
      </c>
      <c r="J6" s="1">
        <v>0.90910000000000002</v>
      </c>
      <c r="K6" s="1">
        <v>0.91059999999999997</v>
      </c>
      <c r="L6" s="1">
        <v>0.48139999999999999</v>
      </c>
      <c r="M6" s="1">
        <v>0.91090000000000004</v>
      </c>
      <c r="N6" s="1">
        <f>48.24% * 1.3</f>
        <v>0.62712000000000001</v>
      </c>
      <c r="O6" s="1">
        <v>0.48149999999999998</v>
      </c>
      <c r="P6">
        <v>730000</v>
      </c>
      <c r="Q6">
        <v>0</v>
      </c>
      <c r="R6" s="1">
        <v>0</v>
      </c>
      <c r="S6">
        <v>9172</v>
      </c>
      <c r="T6" s="1">
        <v>1.26E-2</v>
      </c>
    </row>
    <row r="7" spans="1:20" x14ac:dyDescent="0.3">
      <c r="A7" t="s">
        <v>27</v>
      </c>
      <c r="B7" t="s">
        <v>31</v>
      </c>
      <c r="C7" t="s">
        <v>66</v>
      </c>
      <c r="D7">
        <v>56.32</v>
      </c>
      <c r="E7">
        <v>103.61</v>
      </c>
      <c r="F7">
        <v>81.03</v>
      </c>
      <c r="G7">
        <v>82.64</v>
      </c>
      <c r="H7" s="1">
        <v>0.41820000000000002</v>
      </c>
      <c r="I7" s="1">
        <v>0.63080000000000003</v>
      </c>
      <c r="J7" s="1">
        <v>0.53539999999999999</v>
      </c>
      <c r="K7" s="1">
        <v>0.54779999999999995</v>
      </c>
      <c r="L7" s="1">
        <v>0.21809999999999999</v>
      </c>
      <c r="M7" s="1">
        <v>0.54920000000000002</v>
      </c>
      <c r="N7" s="1">
        <v>0.22</v>
      </c>
      <c r="O7" s="1">
        <v>0.21829999999999999</v>
      </c>
      <c r="P7">
        <v>730000</v>
      </c>
      <c r="Q7">
        <v>0</v>
      </c>
      <c r="R7" s="1">
        <v>0</v>
      </c>
      <c r="S7">
        <v>10856</v>
      </c>
      <c r="T7" s="1">
        <v>1.49E-2</v>
      </c>
    </row>
    <row r="8" spans="1:20" x14ac:dyDescent="0.3">
      <c r="A8" t="s">
        <v>27</v>
      </c>
      <c r="B8" t="s">
        <v>33</v>
      </c>
      <c r="C8" t="s">
        <v>67</v>
      </c>
      <c r="D8">
        <v>136.61000000000001</v>
      </c>
      <c r="E8">
        <v>183.88</v>
      </c>
      <c r="F8">
        <v>160.44</v>
      </c>
      <c r="G8">
        <v>161.24</v>
      </c>
      <c r="H8" s="1">
        <v>0.73119999999999996</v>
      </c>
      <c r="I8" s="1">
        <v>0.82940000000000003</v>
      </c>
      <c r="J8" s="1">
        <v>0.78349999999999997</v>
      </c>
      <c r="K8" s="1">
        <v>0.78769999999999996</v>
      </c>
      <c r="L8" s="1">
        <v>0.35539999999999999</v>
      </c>
      <c r="M8" s="1">
        <v>0.79159999999999997</v>
      </c>
      <c r="N8" s="1">
        <f>35.74% * 1.3</f>
        <v>0.46462000000000003</v>
      </c>
      <c r="O8" s="1">
        <v>0.35560000000000003</v>
      </c>
      <c r="P8">
        <v>730000</v>
      </c>
      <c r="Q8">
        <v>0</v>
      </c>
      <c r="R8" s="1">
        <v>0</v>
      </c>
      <c r="S8">
        <v>9596</v>
      </c>
      <c r="T8" s="1">
        <v>1.3100000000000001E-2</v>
      </c>
    </row>
    <row r="9" spans="1:20" x14ac:dyDescent="0.3">
      <c r="A9" t="s">
        <v>27</v>
      </c>
      <c r="B9" t="s">
        <v>21</v>
      </c>
      <c r="C9" t="s">
        <v>62</v>
      </c>
      <c r="D9">
        <v>17.010000000000002</v>
      </c>
      <c r="E9">
        <v>35.93</v>
      </c>
      <c r="F9">
        <v>23.48</v>
      </c>
      <c r="G9">
        <v>23.8</v>
      </c>
      <c r="H9" s="1">
        <v>0.15079999999999999</v>
      </c>
      <c r="I9" s="1">
        <v>0.29199999999999998</v>
      </c>
      <c r="J9" s="1">
        <v>0.20069999999999999</v>
      </c>
      <c r="K9" s="1">
        <v>0.20369999999999999</v>
      </c>
      <c r="L9" s="1">
        <v>6.7299999999999999E-2</v>
      </c>
      <c r="M9" s="1">
        <v>0.2034</v>
      </c>
      <c r="N9" s="1">
        <v>7.17E-2</v>
      </c>
      <c r="O9" s="1">
        <v>6.9500000000000006E-2</v>
      </c>
      <c r="P9">
        <v>730000</v>
      </c>
      <c r="Q9">
        <v>0</v>
      </c>
      <c r="R9" s="1">
        <v>0</v>
      </c>
      <c r="S9">
        <v>40622</v>
      </c>
      <c r="T9" s="1">
        <v>5.5599999999999997E-2</v>
      </c>
    </row>
    <row r="10" spans="1:20" x14ac:dyDescent="0.3">
      <c r="A10" t="s">
        <v>23</v>
      </c>
      <c r="B10" t="s">
        <v>27</v>
      </c>
      <c r="C10" t="s">
        <v>48</v>
      </c>
      <c r="D10">
        <v>14.71</v>
      </c>
      <c r="E10">
        <v>36.619999999999997</v>
      </c>
      <c r="F10">
        <v>23.82</v>
      </c>
      <c r="G10">
        <v>24.48</v>
      </c>
      <c r="H10" s="1">
        <v>0.1318</v>
      </c>
      <c r="I10" s="1">
        <v>0.28210000000000002</v>
      </c>
      <c r="J10" s="1">
        <v>0.20300000000000001</v>
      </c>
      <c r="K10" s="1">
        <v>0.20930000000000001</v>
      </c>
      <c r="L10" s="1">
        <v>7.4899999999999994E-2</v>
      </c>
      <c r="M10" s="1">
        <v>8.4199999999999997E-2</v>
      </c>
      <c r="N10" s="1">
        <v>7.6399999999999996E-2</v>
      </c>
      <c r="O10" s="1">
        <v>7.6200000000000004E-2</v>
      </c>
      <c r="P10">
        <v>730000</v>
      </c>
      <c r="Q10">
        <v>0</v>
      </c>
      <c r="R10" s="1">
        <v>0</v>
      </c>
      <c r="S10">
        <v>31667</v>
      </c>
      <c r="T10" s="1">
        <v>4.3400000000000001E-2</v>
      </c>
    </row>
    <row r="11" spans="1:20" x14ac:dyDescent="0.3">
      <c r="A11" t="s">
        <v>23</v>
      </c>
      <c r="B11" t="s">
        <v>29</v>
      </c>
      <c r="C11" t="s">
        <v>49</v>
      </c>
      <c r="D11">
        <v>34.97</v>
      </c>
      <c r="E11">
        <v>56.24</v>
      </c>
      <c r="F11">
        <v>43.71</v>
      </c>
      <c r="G11">
        <v>44.08</v>
      </c>
      <c r="H11" s="1">
        <v>0.28560000000000002</v>
      </c>
      <c r="I11" s="1">
        <v>0.40839999999999999</v>
      </c>
      <c r="J11" s="1">
        <v>0.34189999999999998</v>
      </c>
      <c r="K11" s="1">
        <v>0.34510000000000002</v>
      </c>
      <c r="L11" s="1">
        <v>0.1183</v>
      </c>
      <c r="M11" s="1">
        <v>0.12640000000000001</v>
      </c>
      <c r="N11" s="1">
        <v>0.11940000000000001</v>
      </c>
      <c r="O11" s="1">
        <v>0.1192</v>
      </c>
      <c r="P11">
        <v>730000</v>
      </c>
      <c r="Q11">
        <v>0</v>
      </c>
      <c r="R11" s="1">
        <v>0</v>
      </c>
      <c r="S11">
        <v>27739</v>
      </c>
      <c r="T11" s="1">
        <v>3.7999999999999999E-2</v>
      </c>
    </row>
    <row r="12" spans="1:20" x14ac:dyDescent="0.3">
      <c r="A12" t="s">
        <v>23</v>
      </c>
      <c r="B12" t="s">
        <v>25</v>
      </c>
      <c r="C12" t="s">
        <v>47</v>
      </c>
      <c r="D12">
        <v>4.37</v>
      </c>
      <c r="E12">
        <v>26.61</v>
      </c>
      <c r="F12">
        <v>14.15</v>
      </c>
      <c r="G12">
        <v>15.17</v>
      </c>
      <c r="H12" s="1">
        <v>4.1000000000000002E-2</v>
      </c>
      <c r="I12" s="1">
        <v>0.21490000000000001</v>
      </c>
      <c r="J12" s="1">
        <v>0.1255</v>
      </c>
      <c r="K12" s="1">
        <v>0.1353</v>
      </c>
      <c r="L12" s="1">
        <v>5.33E-2</v>
      </c>
      <c r="M12" s="1">
        <v>7.9500000000000001E-2</v>
      </c>
      <c r="N12" s="1">
        <v>5.5399999999999998E-2</v>
      </c>
      <c r="O12" s="1">
        <v>5.5100000000000003E-2</v>
      </c>
      <c r="P12">
        <v>730000</v>
      </c>
      <c r="Q12">
        <v>0</v>
      </c>
      <c r="R12" s="1">
        <v>0</v>
      </c>
      <c r="S12">
        <v>38537</v>
      </c>
      <c r="T12" s="1">
        <v>5.28E-2</v>
      </c>
    </row>
    <row r="13" spans="1:20" x14ac:dyDescent="0.3">
      <c r="A13" t="s">
        <v>23</v>
      </c>
      <c r="B13" t="s">
        <v>20</v>
      </c>
      <c r="C13" t="s">
        <v>45</v>
      </c>
      <c r="D13">
        <v>5.1100000000000003</v>
      </c>
      <c r="E13">
        <v>22.92</v>
      </c>
      <c r="F13">
        <v>9.2200000000000006</v>
      </c>
      <c r="G13">
        <v>8.93</v>
      </c>
      <c r="H13" s="1">
        <v>4.7800000000000002E-2</v>
      </c>
      <c r="I13" s="1">
        <v>0.18390000000000001</v>
      </c>
      <c r="J13" s="1">
        <v>8.0399999999999999E-2</v>
      </c>
      <c r="K13" s="1">
        <v>0.08</v>
      </c>
      <c r="L13" s="1">
        <v>3.9300000000000002E-2</v>
      </c>
      <c r="M13" s="1">
        <v>7.0900000000000005E-2</v>
      </c>
      <c r="N13" s="1">
        <v>4.0899999999999999E-2</v>
      </c>
      <c r="O13" s="1">
        <v>4.0899999999999999E-2</v>
      </c>
      <c r="P13">
        <v>730000</v>
      </c>
      <c r="Q13">
        <v>0</v>
      </c>
      <c r="R13" s="1">
        <v>0</v>
      </c>
      <c r="S13">
        <v>83990</v>
      </c>
      <c r="T13" s="1">
        <v>0.11509999999999999</v>
      </c>
    </row>
    <row r="14" spans="1:20" x14ac:dyDescent="0.3">
      <c r="A14" t="s">
        <v>23</v>
      </c>
      <c r="B14" t="s">
        <v>35</v>
      </c>
      <c r="C14" t="s">
        <v>52</v>
      </c>
      <c r="D14">
        <v>241.78</v>
      </c>
      <c r="E14">
        <v>262.25</v>
      </c>
      <c r="F14">
        <v>250.18</v>
      </c>
      <c r="G14">
        <v>250.23</v>
      </c>
      <c r="H14" s="1">
        <v>0.90229999999999999</v>
      </c>
      <c r="I14" s="1">
        <v>0.91900000000000004</v>
      </c>
      <c r="J14" s="1">
        <v>0.90969999999999995</v>
      </c>
      <c r="K14" s="1">
        <v>0.90990000000000004</v>
      </c>
      <c r="L14" s="1">
        <v>0.46350000000000002</v>
      </c>
      <c r="M14" s="1">
        <v>0.48549999999999999</v>
      </c>
      <c r="N14" s="1">
        <f>46.41% * 1.3</f>
        <v>0.60332999999999992</v>
      </c>
      <c r="O14" s="1">
        <v>0.46389999999999998</v>
      </c>
      <c r="P14">
        <v>730000</v>
      </c>
      <c r="Q14">
        <v>0</v>
      </c>
      <c r="R14" s="1">
        <v>0</v>
      </c>
      <c r="S14">
        <v>24056</v>
      </c>
      <c r="T14" s="1">
        <v>3.3000000000000002E-2</v>
      </c>
    </row>
    <row r="15" spans="1:20" x14ac:dyDescent="0.3">
      <c r="A15" t="s">
        <v>23</v>
      </c>
      <c r="B15" t="s">
        <v>31</v>
      </c>
      <c r="C15" t="s">
        <v>50</v>
      </c>
      <c r="D15">
        <v>71.02</v>
      </c>
      <c r="E15">
        <v>91.98</v>
      </c>
      <c r="F15">
        <v>79.569999999999993</v>
      </c>
      <c r="G15">
        <v>79.77</v>
      </c>
      <c r="H15" s="1">
        <v>0.49490000000000001</v>
      </c>
      <c r="I15" s="1">
        <v>0.5796</v>
      </c>
      <c r="J15" s="1">
        <v>0.53390000000000004</v>
      </c>
      <c r="K15" s="1">
        <v>0.53539999999999999</v>
      </c>
      <c r="L15" s="1">
        <v>0.1913</v>
      </c>
      <c r="M15" s="1">
        <v>0.19839999999999999</v>
      </c>
      <c r="N15" s="1">
        <v>0.19209999999999999</v>
      </c>
      <c r="O15" s="1">
        <v>0.192</v>
      </c>
      <c r="P15">
        <v>730000</v>
      </c>
      <c r="Q15">
        <v>0</v>
      </c>
      <c r="R15" s="1">
        <v>0</v>
      </c>
      <c r="S15">
        <v>25717</v>
      </c>
      <c r="T15" s="1">
        <v>3.5200000000000002E-2</v>
      </c>
    </row>
    <row r="16" spans="1:20" x14ac:dyDescent="0.3">
      <c r="A16" t="s">
        <v>23</v>
      </c>
      <c r="B16" t="s">
        <v>33</v>
      </c>
      <c r="C16" t="s">
        <v>51</v>
      </c>
      <c r="D16">
        <v>151.31</v>
      </c>
      <c r="E16">
        <v>172.2</v>
      </c>
      <c r="F16">
        <v>159.75</v>
      </c>
      <c r="G16">
        <v>159.84</v>
      </c>
      <c r="H16" s="1">
        <v>0.76670000000000005</v>
      </c>
      <c r="I16" s="1">
        <v>0.80589999999999995</v>
      </c>
      <c r="J16" s="1">
        <v>0.78439999999999999</v>
      </c>
      <c r="K16" s="1">
        <v>0.78490000000000004</v>
      </c>
      <c r="L16" s="1">
        <v>0.3332</v>
      </c>
      <c r="M16" s="1">
        <v>0.35909999999999997</v>
      </c>
      <c r="N16" s="1">
        <f>33.39% * 1.3</f>
        <v>0.43407000000000007</v>
      </c>
      <c r="O16" s="1">
        <v>0.3337</v>
      </c>
      <c r="P16">
        <v>730000</v>
      </c>
      <c r="Q16">
        <v>0</v>
      </c>
      <c r="R16" s="1">
        <v>0</v>
      </c>
      <c r="S16">
        <v>24476</v>
      </c>
      <c r="T16" s="1">
        <v>3.3500000000000002E-2</v>
      </c>
    </row>
    <row r="17" spans="1:20" x14ac:dyDescent="0.3">
      <c r="A17" t="s">
        <v>23</v>
      </c>
      <c r="B17" t="s">
        <v>21</v>
      </c>
      <c r="C17" t="s">
        <v>46</v>
      </c>
      <c r="D17">
        <v>2.3199999999999998</v>
      </c>
      <c r="E17">
        <v>22.51</v>
      </c>
      <c r="F17">
        <v>9.6199999999999992</v>
      </c>
      <c r="G17">
        <v>10.28</v>
      </c>
      <c r="H17" s="1">
        <v>2.1899999999999999E-2</v>
      </c>
      <c r="I17" s="1">
        <v>0.1462</v>
      </c>
      <c r="J17" s="1">
        <v>8.5900000000000004E-2</v>
      </c>
      <c r="K17" s="1">
        <v>9.2799999999999994E-2</v>
      </c>
      <c r="L17" s="1">
        <v>4.4900000000000002E-2</v>
      </c>
      <c r="M17" s="1">
        <v>5.2600000000000001E-2</v>
      </c>
      <c r="N17" s="1">
        <v>4.6600000000000003E-2</v>
      </c>
      <c r="O17" s="1">
        <v>4.6600000000000003E-2</v>
      </c>
      <c r="P17">
        <v>730000</v>
      </c>
      <c r="Q17">
        <v>0</v>
      </c>
      <c r="R17" s="1">
        <v>0</v>
      </c>
      <c r="S17">
        <v>55493</v>
      </c>
      <c r="T17" s="1">
        <v>7.5999999999999998E-2</v>
      </c>
    </row>
    <row r="18" spans="1:20" x14ac:dyDescent="0.3">
      <c r="A18" t="s">
        <v>29</v>
      </c>
      <c r="B18" t="s">
        <v>27</v>
      </c>
      <c r="C18" t="s">
        <v>73</v>
      </c>
      <c r="D18">
        <v>20.28</v>
      </c>
      <c r="E18">
        <v>68.41</v>
      </c>
      <c r="F18">
        <v>46.44</v>
      </c>
      <c r="G18">
        <v>49.07</v>
      </c>
      <c r="H18" s="1">
        <v>0.17710000000000001</v>
      </c>
      <c r="I18" s="1">
        <v>0.48199999999999998</v>
      </c>
      <c r="J18" s="1">
        <v>0.35210000000000002</v>
      </c>
      <c r="K18" s="1">
        <v>0.37540000000000001</v>
      </c>
      <c r="L18" s="1">
        <v>0.14729999999999999</v>
      </c>
      <c r="M18" s="1">
        <v>0.3624</v>
      </c>
      <c r="N18" s="1">
        <v>0.14799999999999999</v>
      </c>
      <c r="O18" s="1">
        <v>0.14760000000000001</v>
      </c>
      <c r="P18">
        <v>730000</v>
      </c>
      <c r="Q18">
        <v>0</v>
      </c>
      <c r="R18" s="1">
        <v>0</v>
      </c>
      <c r="S18">
        <v>12882</v>
      </c>
      <c r="T18" s="1">
        <v>1.7600000000000001E-2</v>
      </c>
    </row>
    <row r="19" spans="1:20" x14ac:dyDescent="0.3">
      <c r="A19" t="s">
        <v>29</v>
      </c>
      <c r="B19" t="s">
        <v>23</v>
      </c>
      <c r="C19" t="s">
        <v>71</v>
      </c>
      <c r="D19">
        <v>34.97</v>
      </c>
      <c r="E19">
        <v>56.24</v>
      </c>
      <c r="F19">
        <v>43.71</v>
      </c>
      <c r="G19">
        <v>44.08</v>
      </c>
      <c r="H19" s="1">
        <v>0.28560000000000002</v>
      </c>
      <c r="I19" s="1">
        <v>0.40839999999999999</v>
      </c>
      <c r="J19" s="1">
        <v>0.34189999999999998</v>
      </c>
      <c r="K19" s="1">
        <v>0.34510000000000002</v>
      </c>
      <c r="L19" s="1">
        <v>0.1183</v>
      </c>
      <c r="M19" s="1">
        <v>0.12640000000000001</v>
      </c>
      <c r="N19" s="1">
        <v>0.11940000000000001</v>
      </c>
      <c r="O19" s="1">
        <v>0.1192</v>
      </c>
      <c r="P19">
        <v>730000</v>
      </c>
      <c r="Q19">
        <v>0</v>
      </c>
      <c r="R19" s="1">
        <v>0</v>
      </c>
      <c r="S19">
        <v>27739</v>
      </c>
      <c r="T19" s="1">
        <v>3.7999999999999999E-2</v>
      </c>
    </row>
    <row r="20" spans="1:20" x14ac:dyDescent="0.3">
      <c r="A20" t="s">
        <v>29</v>
      </c>
      <c r="B20" t="s">
        <v>25</v>
      </c>
      <c r="C20" t="s">
        <v>72</v>
      </c>
      <c r="D20">
        <v>30.62</v>
      </c>
      <c r="E20">
        <v>59.14</v>
      </c>
      <c r="F20">
        <v>44.23</v>
      </c>
      <c r="G20">
        <v>45.11</v>
      </c>
      <c r="H20" s="1">
        <v>0.255</v>
      </c>
      <c r="I20" s="1">
        <v>0.4294</v>
      </c>
      <c r="J20" s="1">
        <v>0.34360000000000002</v>
      </c>
      <c r="K20" s="1">
        <v>0.3513</v>
      </c>
      <c r="L20" s="1">
        <v>0.1258</v>
      </c>
      <c r="M20" s="1">
        <v>0.34689999999999999</v>
      </c>
      <c r="N20" s="1">
        <v>0.12790000000000001</v>
      </c>
      <c r="O20" s="1">
        <v>0.12640000000000001</v>
      </c>
      <c r="P20">
        <v>730000</v>
      </c>
      <c r="Q20">
        <v>0</v>
      </c>
      <c r="R20" s="1">
        <v>0</v>
      </c>
      <c r="S20">
        <v>19723</v>
      </c>
      <c r="T20" s="1">
        <v>2.7E-2</v>
      </c>
    </row>
    <row r="21" spans="1:20" x14ac:dyDescent="0.3">
      <c r="A21" t="s">
        <v>29</v>
      </c>
      <c r="B21" t="s">
        <v>20</v>
      </c>
      <c r="C21" t="s">
        <v>69</v>
      </c>
      <c r="D21">
        <v>40.07</v>
      </c>
      <c r="E21">
        <v>57.15</v>
      </c>
      <c r="F21">
        <v>43.57</v>
      </c>
      <c r="G21">
        <v>43.41</v>
      </c>
      <c r="H21" s="1">
        <v>0.31979999999999997</v>
      </c>
      <c r="I21" s="1">
        <v>0.42270000000000002</v>
      </c>
      <c r="J21" s="1">
        <v>0.34100000000000003</v>
      </c>
      <c r="K21" s="1">
        <v>0.3402</v>
      </c>
      <c r="L21" s="1">
        <v>0.1055</v>
      </c>
      <c r="M21" s="1">
        <v>0.14050000000000001</v>
      </c>
      <c r="N21" s="1">
        <v>0.1105</v>
      </c>
      <c r="O21" s="1">
        <v>0.1094</v>
      </c>
      <c r="P21">
        <v>730000</v>
      </c>
      <c r="Q21">
        <v>0</v>
      </c>
      <c r="R21" s="1">
        <v>0</v>
      </c>
      <c r="S21">
        <v>65184</v>
      </c>
      <c r="T21" s="1">
        <v>8.9300000000000004E-2</v>
      </c>
    </row>
    <row r="22" spans="1:20" x14ac:dyDescent="0.3">
      <c r="A22" t="s">
        <v>29</v>
      </c>
      <c r="B22" t="s">
        <v>35</v>
      </c>
      <c r="C22" t="s">
        <v>76</v>
      </c>
      <c r="D22">
        <v>206.82</v>
      </c>
      <c r="E22">
        <v>293.97000000000003</v>
      </c>
      <c r="F22">
        <v>252.05</v>
      </c>
      <c r="G22">
        <v>253.94</v>
      </c>
      <c r="H22" s="1">
        <v>0.86319999999999997</v>
      </c>
      <c r="I22" s="1">
        <v>0.94079999999999997</v>
      </c>
      <c r="J22" s="1">
        <v>0.90749999999999997</v>
      </c>
      <c r="K22" s="1">
        <v>0.91300000000000003</v>
      </c>
      <c r="L22" s="1">
        <v>0.50609999999999999</v>
      </c>
      <c r="M22" s="1">
        <v>0.91510000000000002</v>
      </c>
      <c r="N22" s="1">
        <f>50.65% * 1.3</f>
        <v>0.65844999999999998</v>
      </c>
      <c r="O22" s="1">
        <v>0.50619999999999998</v>
      </c>
      <c r="P22">
        <v>730000</v>
      </c>
      <c r="Q22">
        <v>0</v>
      </c>
      <c r="R22" s="1">
        <v>0</v>
      </c>
      <c r="S22">
        <v>5181</v>
      </c>
      <c r="T22" s="1">
        <v>7.1000000000000004E-3</v>
      </c>
    </row>
    <row r="23" spans="1:20" x14ac:dyDescent="0.3">
      <c r="A23" t="s">
        <v>29</v>
      </c>
      <c r="B23" t="s">
        <v>31</v>
      </c>
      <c r="C23" t="s">
        <v>74</v>
      </c>
      <c r="D23">
        <v>36.06</v>
      </c>
      <c r="E23">
        <v>123.49</v>
      </c>
      <c r="F23">
        <v>85.48</v>
      </c>
      <c r="G23">
        <v>90.57</v>
      </c>
      <c r="H23" s="1">
        <v>0.29299999999999998</v>
      </c>
      <c r="I23" s="1">
        <v>0.69499999999999995</v>
      </c>
      <c r="J23" s="1">
        <v>0.54159999999999997</v>
      </c>
      <c r="K23" s="1">
        <v>0.58099999999999996</v>
      </c>
      <c r="L23" s="1">
        <v>0.25530000000000003</v>
      </c>
      <c r="M23" s="1">
        <v>0.57040000000000002</v>
      </c>
      <c r="N23" s="1">
        <v>0.25609999999999999</v>
      </c>
      <c r="O23" s="1">
        <v>0.25540000000000002</v>
      </c>
      <c r="P23">
        <v>730000</v>
      </c>
      <c r="Q23">
        <v>0</v>
      </c>
      <c r="R23" s="1">
        <v>0</v>
      </c>
      <c r="S23">
        <v>6927</v>
      </c>
      <c r="T23" s="1">
        <v>9.4999999999999998E-3</v>
      </c>
    </row>
    <row r="24" spans="1:20" x14ac:dyDescent="0.3">
      <c r="A24" t="s">
        <v>29</v>
      </c>
      <c r="B24" t="s">
        <v>33</v>
      </c>
      <c r="C24" t="s">
        <v>75</v>
      </c>
      <c r="D24">
        <v>116.35</v>
      </c>
      <c r="E24">
        <v>203.58</v>
      </c>
      <c r="F24">
        <v>162.5</v>
      </c>
      <c r="G24">
        <v>165.25</v>
      </c>
      <c r="H24" s="1">
        <v>0.6734</v>
      </c>
      <c r="I24" s="1">
        <v>0.85880000000000001</v>
      </c>
      <c r="J24" s="1">
        <v>0.78120000000000001</v>
      </c>
      <c r="K24" s="1">
        <v>0.79569999999999996</v>
      </c>
      <c r="L24" s="1">
        <v>0.3861</v>
      </c>
      <c r="M24" s="1">
        <v>0.65600000000000003</v>
      </c>
      <c r="N24" s="1">
        <f>38.64% * 1.3</f>
        <v>0.5023200000000001</v>
      </c>
      <c r="O24" s="1">
        <v>0.38619999999999999</v>
      </c>
      <c r="P24">
        <v>730000</v>
      </c>
      <c r="Q24">
        <v>0</v>
      </c>
      <c r="R24" s="1">
        <v>0</v>
      </c>
      <c r="S24">
        <v>5648</v>
      </c>
      <c r="T24" s="1">
        <v>7.7000000000000002E-3</v>
      </c>
    </row>
    <row r="25" spans="1:20" x14ac:dyDescent="0.3">
      <c r="A25" t="s">
        <v>29</v>
      </c>
      <c r="B25" t="s">
        <v>21</v>
      </c>
      <c r="C25" t="s">
        <v>70</v>
      </c>
      <c r="D25">
        <v>37.28</v>
      </c>
      <c r="E25">
        <v>56.37</v>
      </c>
      <c r="F25">
        <v>43.55</v>
      </c>
      <c r="G25">
        <v>43.71</v>
      </c>
      <c r="H25" s="1">
        <v>0.30120000000000002</v>
      </c>
      <c r="I25" s="1">
        <v>0.41439999999999999</v>
      </c>
      <c r="J25" s="1">
        <v>0.34110000000000001</v>
      </c>
      <c r="K25" s="1">
        <v>0.34250000000000003</v>
      </c>
      <c r="L25" s="1">
        <v>0.1116</v>
      </c>
      <c r="M25" s="1">
        <v>0.34510000000000002</v>
      </c>
      <c r="N25" s="1">
        <v>0.11559999999999999</v>
      </c>
      <c r="O25" s="1">
        <v>0.1132</v>
      </c>
      <c r="P25">
        <v>730000</v>
      </c>
      <c r="Q25">
        <v>0</v>
      </c>
      <c r="R25" s="1">
        <v>0</v>
      </c>
      <c r="S25">
        <v>36694</v>
      </c>
      <c r="T25" s="1">
        <v>5.0299999999999997E-2</v>
      </c>
    </row>
    <row r="26" spans="1:20" x14ac:dyDescent="0.3">
      <c r="A26" t="s">
        <v>25</v>
      </c>
      <c r="B26" t="s">
        <v>27</v>
      </c>
      <c r="C26" t="s">
        <v>56</v>
      </c>
      <c r="D26">
        <v>10.36</v>
      </c>
      <c r="E26">
        <v>38.51</v>
      </c>
      <c r="F26">
        <v>24.82</v>
      </c>
      <c r="G26">
        <v>26.27</v>
      </c>
      <c r="H26" s="1">
        <v>9.4700000000000006E-2</v>
      </c>
      <c r="I26" s="1">
        <v>0.30880000000000002</v>
      </c>
      <c r="J26" s="1">
        <v>0.2089</v>
      </c>
      <c r="K26" s="1">
        <v>0.22239999999999999</v>
      </c>
      <c r="L26" s="1">
        <v>8.2100000000000006E-2</v>
      </c>
      <c r="M26" s="1">
        <v>0.20649999999999999</v>
      </c>
      <c r="N26" s="1">
        <v>8.3900000000000002E-2</v>
      </c>
      <c r="O26" s="1">
        <v>8.2900000000000001E-2</v>
      </c>
      <c r="P26">
        <v>730000</v>
      </c>
      <c r="Q26">
        <v>0</v>
      </c>
      <c r="R26" s="1">
        <v>0</v>
      </c>
      <c r="S26">
        <v>23645</v>
      </c>
      <c r="T26" s="1">
        <v>3.2399999999999998E-2</v>
      </c>
    </row>
    <row r="27" spans="1:20" x14ac:dyDescent="0.3">
      <c r="A27" t="s">
        <v>25</v>
      </c>
      <c r="B27" t="s">
        <v>23</v>
      </c>
      <c r="C27" t="s">
        <v>55</v>
      </c>
      <c r="D27">
        <v>4.37</v>
      </c>
      <c r="E27">
        <v>26.61</v>
      </c>
      <c r="F27">
        <v>14.15</v>
      </c>
      <c r="G27">
        <v>15.17</v>
      </c>
      <c r="H27" s="1">
        <v>4.1000000000000002E-2</v>
      </c>
      <c r="I27" s="1">
        <v>0.21490000000000001</v>
      </c>
      <c r="J27" s="1">
        <v>0.1255</v>
      </c>
      <c r="K27" s="1">
        <v>0.1353</v>
      </c>
      <c r="L27" s="1">
        <v>5.33E-2</v>
      </c>
      <c r="M27" s="1">
        <v>6.1899999999999997E-2</v>
      </c>
      <c r="N27" s="1">
        <v>5.5399999999999998E-2</v>
      </c>
      <c r="O27" s="1">
        <v>5.5100000000000003E-2</v>
      </c>
      <c r="P27">
        <v>730000</v>
      </c>
      <c r="Q27">
        <v>0</v>
      </c>
      <c r="R27" s="1">
        <v>0</v>
      </c>
      <c r="S27">
        <v>38537</v>
      </c>
      <c r="T27" s="1">
        <v>5.28E-2</v>
      </c>
    </row>
    <row r="28" spans="1:20" x14ac:dyDescent="0.3">
      <c r="A28" t="s">
        <v>25</v>
      </c>
      <c r="B28" t="s">
        <v>29</v>
      </c>
      <c r="C28" t="s">
        <v>57</v>
      </c>
      <c r="D28">
        <v>30.62</v>
      </c>
      <c r="E28">
        <v>59.14</v>
      </c>
      <c r="F28">
        <v>44.23</v>
      </c>
      <c r="G28">
        <v>45.11</v>
      </c>
      <c r="H28" s="1">
        <v>0.255</v>
      </c>
      <c r="I28" s="1">
        <v>0.4294</v>
      </c>
      <c r="J28" s="1">
        <v>0.34360000000000002</v>
      </c>
      <c r="K28" s="1">
        <v>0.3513</v>
      </c>
      <c r="L28" s="1">
        <v>0.1258</v>
      </c>
      <c r="M28" s="1">
        <v>0.34689999999999999</v>
      </c>
      <c r="N28" s="1">
        <v>0.1278</v>
      </c>
      <c r="O28" s="1">
        <v>0.12640000000000001</v>
      </c>
      <c r="P28">
        <v>730000</v>
      </c>
      <c r="Q28">
        <v>0</v>
      </c>
      <c r="R28" s="1">
        <v>0</v>
      </c>
      <c r="S28">
        <v>19723</v>
      </c>
      <c r="T28" s="1">
        <v>2.7E-2</v>
      </c>
    </row>
    <row r="29" spans="1:20" x14ac:dyDescent="0.3">
      <c r="A29" t="s">
        <v>25</v>
      </c>
      <c r="B29" t="s">
        <v>20</v>
      </c>
      <c r="C29" t="s">
        <v>53</v>
      </c>
      <c r="D29">
        <v>9.4700000000000006</v>
      </c>
      <c r="E29">
        <v>26.92</v>
      </c>
      <c r="F29">
        <v>13.28</v>
      </c>
      <c r="G29">
        <v>13.09</v>
      </c>
      <c r="H29" s="1">
        <v>8.6900000000000005E-2</v>
      </c>
      <c r="I29" s="1">
        <v>0.2261</v>
      </c>
      <c r="J29" s="1">
        <v>0.11749999999999999</v>
      </c>
      <c r="K29" s="1">
        <v>0.1167</v>
      </c>
      <c r="L29" s="1">
        <v>3.7199999999999997E-2</v>
      </c>
      <c r="M29" s="1">
        <v>8.4000000000000005E-2</v>
      </c>
      <c r="N29" s="1">
        <v>4.5699999999999998E-2</v>
      </c>
      <c r="O29" s="1">
        <v>4.4699999999999997E-2</v>
      </c>
      <c r="P29">
        <v>730000</v>
      </c>
      <c r="Q29">
        <v>0</v>
      </c>
      <c r="R29" s="1">
        <v>0</v>
      </c>
      <c r="S29">
        <v>75980</v>
      </c>
      <c r="T29" s="1">
        <v>0.1041</v>
      </c>
    </row>
    <row r="30" spans="1:20" x14ac:dyDescent="0.3">
      <c r="A30" t="s">
        <v>25</v>
      </c>
      <c r="B30" t="s">
        <v>35</v>
      </c>
      <c r="C30" t="s">
        <v>60</v>
      </c>
      <c r="D30">
        <v>237.42</v>
      </c>
      <c r="E30">
        <v>265.14</v>
      </c>
      <c r="F30">
        <v>250.26</v>
      </c>
      <c r="G30">
        <v>250.42</v>
      </c>
      <c r="H30" s="1">
        <v>0.89810000000000001</v>
      </c>
      <c r="I30" s="1">
        <v>0.92179999999999995</v>
      </c>
      <c r="J30" s="1">
        <v>0.90949999999999998</v>
      </c>
      <c r="K30" s="1">
        <v>0.91</v>
      </c>
      <c r="L30" s="1">
        <v>0.46839999999999998</v>
      </c>
      <c r="M30" s="1">
        <v>0.91059999999999997</v>
      </c>
      <c r="N30" s="1">
        <f>47.2% * 1.3</f>
        <v>0.61360000000000003</v>
      </c>
      <c r="O30" s="1">
        <v>0.46860000000000002</v>
      </c>
      <c r="P30">
        <v>730000</v>
      </c>
      <c r="Q30">
        <v>0</v>
      </c>
      <c r="R30" s="1">
        <v>0</v>
      </c>
      <c r="S30">
        <v>16044</v>
      </c>
      <c r="T30" s="1">
        <v>2.1999999999999999E-2</v>
      </c>
    </row>
    <row r="31" spans="1:20" x14ac:dyDescent="0.3">
      <c r="A31" t="s">
        <v>25</v>
      </c>
      <c r="B31" t="s">
        <v>31</v>
      </c>
      <c r="C31" t="s">
        <v>58</v>
      </c>
      <c r="D31">
        <v>66.66</v>
      </c>
      <c r="E31">
        <v>94.87</v>
      </c>
      <c r="F31">
        <v>79.849999999999994</v>
      </c>
      <c r="G31">
        <v>80.34</v>
      </c>
      <c r="H31" s="1">
        <v>0.4733</v>
      </c>
      <c r="I31" s="1">
        <v>0.59840000000000004</v>
      </c>
      <c r="J31" s="1">
        <v>0.53400000000000003</v>
      </c>
      <c r="K31" s="1">
        <v>0.53779999999999994</v>
      </c>
      <c r="L31" s="1">
        <v>0.19839999999999999</v>
      </c>
      <c r="M31" s="1">
        <v>0.53810000000000002</v>
      </c>
      <c r="N31" s="1">
        <v>0.20080000000000001</v>
      </c>
      <c r="O31" s="1">
        <v>0.1988</v>
      </c>
      <c r="P31">
        <v>730000</v>
      </c>
      <c r="Q31">
        <v>0</v>
      </c>
      <c r="R31" s="1">
        <v>0</v>
      </c>
      <c r="S31">
        <v>17702</v>
      </c>
      <c r="T31" s="1">
        <v>2.4199999999999999E-2</v>
      </c>
    </row>
    <row r="32" spans="1:20" x14ac:dyDescent="0.3">
      <c r="A32" t="s">
        <v>25</v>
      </c>
      <c r="B32" t="s">
        <v>33</v>
      </c>
      <c r="C32" t="s">
        <v>59</v>
      </c>
      <c r="D32">
        <v>146.94999999999999</v>
      </c>
      <c r="E32">
        <v>175.15</v>
      </c>
      <c r="F32">
        <v>159.88</v>
      </c>
      <c r="G32">
        <v>160.12</v>
      </c>
      <c r="H32" s="1">
        <v>0.75670000000000004</v>
      </c>
      <c r="I32" s="1">
        <v>0.8145</v>
      </c>
      <c r="J32" s="1">
        <v>0.78420000000000001</v>
      </c>
      <c r="K32" s="1">
        <v>0.78549999999999998</v>
      </c>
      <c r="L32" s="1">
        <v>0.3392</v>
      </c>
      <c r="M32" s="1">
        <v>0.78659999999999997</v>
      </c>
      <c r="N32" s="1">
        <f>34.04% * 1.3</f>
        <v>0.44251999999999997</v>
      </c>
      <c r="O32" s="1">
        <v>0.33950000000000002</v>
      </c>
      <c r="P32">
        <v>730000</v>
      </c>
      <c r="Q32">
        <v>0</v>
      </c>
      <c r="R32" s="1">
        <v>0</v>
      </c>
      <c r="S32">
        <v>16456</v>
      </c>
      <c r="T32" s="1">
        <v>2.2499999999999999E-2</v>
      </c>
    </row>
    <row r="33" spans="1:20" x14ac:dyDescent="0.3">
      <c r="A33" t="s">
        <v>25</v>
      </c>
      <c r="B33" t="s">
        <v>21</v>
      </c>
      <c r="C33" t="s">
        <v>54</v>
      </c>
      <c r="D33">
        <v>6.67</v>
      </c>
      <c r="E33">
        <v>26.42</v>
      </c>
      <c r="F33">
        <v>13.51</v>
      </c>
      <c r="G33">
        <v>14.04</v>
      </c>
      <c r="H33" s="1">
        <v>6.2E-2</v>
      </c>
      <c r="I33" s="1">
        <v>0.22409999999999999</v>
      </c>
      <c r="J33" s="1">
        <v>0.1201</v>
      </c>
      <c r="K33" s="1">
        <v>0.12529999999999999</v>
      </c>
      <c r="L33" s="1">
        <v>4.3799999999999999E-2</v>
      </c>
      <c r="M33" s="1">
        <v>0.1229</v>
      </c>
      <c r="N33" s="1">
        <v>5.0999999999999997E-2</v>
      </c>
      <c r="O33" s="1">
        <v>4.9700000000000001E-2</v>
      </c>
      <c r="P33">
        <v>730000</v>
      </c>
      <c r="Q33">
        <v>0</v>
      </c>
      <c r="R33" s="1">
        <v>0</v>
      </c>
      <c r="S33">
        <v>47483</v>
      </c>
      <c r="T33" s="1">
        <v>6.5000000000000002E-2</v>
      </c>
    </row>
    <row r="34" spans="1:20" x14ac:dyDescent="0.3">
      <c r="A34" t="s">
        <v>20</v>
      </c>
      <c r="B34" t="s">
        <v>27</v>
      </c>
      <c r="C34" t="s">
        <v>28</v>
      </c>
      <c r="D34">
        <v>19.809999999999999</v>
      </c>
      <c r="E34">
        <v>36.93</v>
      </c>
      <c r="F34">
        <v>23.41</v>
      </c>
      <c r="G34">
        <v>23.25</v>
      </c>
      <c r="H34" s="1">
        <v>0.1734</v>
      </c>
      <c r="I34" s="1">
        <v>0.29520000000000002</v>
      </c>
      <c r="J34" s="1">
        <v>0.19980000000000001</v>
      </c>
      <c r="K34" s="1">
        <v>0.19900000000000001</v>
      </c>
      <c r="L34" s="1">
        <v>6.0900000000000003E-2</v>
      </c>
      <c r="M34" s="1">
        <v>9.8299999999999998E-2</v>
      </c>
      <c r="N34" s="1">
        <v>6.6799999999999998E-2</v>
      </c>
      <c r="O34" s="1">
        <v>6.5799999999999997E-2</v>
      </c>
      <c r="P34">
        <v>730000</v>
      </c>
      <c r="Q34">
        <v>0</v>
      </c>
      <c r="R34" s="1">
        <v>0</v>
      </c>
      <c r="S34">
        <v>69115</v>
      </c>
      <c r="T34" s="1">
        <v>9.4700000000000006E-2</v>
      </c>
    </row>
    <row r="35" spans="1:20" x14ac:dyDescent="0.3">
      <c r="A35" t="s">
        <v>20</v>
      </c>
      <c r="B35" t="s">
        <v>23</v>
      </c>
      <c r="C35" t="s">
        <v>24</v>
      </c>
      <c r="D35">
        <v>5.1100000000000003</v>
      </c>
      <c r="E35">
        <v>22.92</v>
      </c>
      <c r="F35">
        <v>9.2200000000000006</v>
      </c>
      <c r="G35">
        <v>8.93</v>
      </c>
      <c r="H35" s="1">
        <v>4.7800000000000002E-2</v>
      </c>
      <c r="I35" s="1">
        <v>0.18390000000000001</v>
      </c>
      <c r="J35" s="1">
        <v>8.0399999999999999E-2</v>
      </c>
      <c r="K35" s="1">
        <v>0.08</v>
      </c>
      <c r="L35" s="1">
        <v>3.9300000000000002E-2</v>
      </c>
      <c r="M35" s="1">
        <v>5.3600000000000002E-2</v>
      </c>
      <c r="N35" s="1">
        <v>4.0899999999999999E-2</v>
      </c>
      <c r="O35" s="1">
        <v>4.0899999999999999E-2</v>
      </c>
      <c r="P35">
        <v>730000</v>
      </c>
      <c r="Q35">
        <v>0</v>
      </c>
      <c r="R35" s="1">
        <v>0</v>
      </c>
      <c r="S35">
        <v>83990</v>
      </c>
      <c r="T35" s="1">
        <v>0.11509999999999999</v>
      </c>
    </row>
    <row r="36" spans="1:20" x14ac:dyDescent="0.3">
      <c r="A36" t="s">
        <v>20</v>
      </c>
      <c r="B36" t="s">
        <v>29</v>
      </c>
      <c r="C36" t="s">
        <v>30</v>
      </c>
      <c r="D36">
        <v>40.07</v>
      </c>
      <c r="E36">
        <v>57.15</v>
      </c>
      <c r="F36">
        <v>43.57</v>
      </c>
      <c r="G36">
        <v>43.41</v>
      </c>
      <c r="H36" s="1">
        <v>0.31979999999999997</v>
      </c>
      <c r="I36" s="1">
        <v>0.42270000000000002</v>
      </c>
      <c r="J36" s="1">
        <v>0.34100000000000003</v>
      </c>
      <c r="K36" s="1">
        <v>0.3402</v>
      </c>
      <c r="L36" s="1">
        <v>0.1055</v>
      </c>
      <c r="M36" s="1">
        <v>0.14050000000000001</v>
      </c>
      <c r="N36" s="1">
        <v>0.1105</v>
      </c>
      <c r="O36" s="1">
        <v>0.1094</v>
      </c>
      <c r="P36">
        <v>730000</v>
      </c>
      <c r="Q36">
        <v>0</v>
      </c>
      <c r="R36" s="1">
        <v>0</v>
      </c>
      <c r="S36">
        <v>65184</v>
      </c>
      <c r="T36" s="1">
        <v>8.9300000000000004E-2</v>
      </c>
    </row>
    <row r="37" spans="1:20" x14ac:dyDescent="0.3">
      <c r="A37" t="s">
        <v>20</v>
      </c>
      <c r="B37" t="s">
        <v>25</v>
      </c>
      <c r="C37" t="s">
        <v>26</v>
      </c>
      <c r="D37">
        <v>9.4700000000000006</v>
      </c>
      <c r="E37">
        <v>26.92</v>
      </c>
      <c r="F37">
        <v>13.28</v>
      </c>
      <c r="G37">
        <v>13.09</v>
      </c>
      <c r="H37" s="1">
        <v>8.6900000000000005E-2</v>
      </c>
      <c r="I37" s="1">
        <v>0.2261</v>
      </c>
      <c r="J37" s="1">
        <v>0.11749999999999999</v>
      </c>
      <c r="K37" s="1">
        <v>0.1167</v>
      </c>
      <c r="L37" s="1">
        <v>3.7199999999999997E-2</v>
      </c>
      <c r="M37" s="1">
        <v>7.9100000000000004E-2</v>
      </c>
      <c r="N37" s="1">
        <v>4.5699999999999998E-2</v>
      </c>
      <c r="O37" s="1">
        <v>4.4699999999999997E-2</v>
      </c>
      <c r="P37">
        <v>730000</v>
      </c>
      <c r="Q37">
        <v>0</v>
      </c>
      <c r="R37" s="1">
        <v>0</v>
      </c>
      <c r="S37">
        <v>75980</v>
      </c>
      <c r="T37" s="1">
        <v>0.1041</v>
      </c>
    </row>
    <row r="38" spans="1:20" x14ac:dyDescent="0.3">
      <c r="A38" t="s">
        <v>20</v>
      </c>
      <c r="B38" t="s">
        <v>35</v>
      </c>
      <c r="C38" t="s">
        <v>36</v>
      </c>
      <c r="D38">
        <v>246.87</v>
      </c>
      <c r="E38">
        <v>263.52</v>
      </c>
      <c r="F38">
        <v>250.27</v>
      </c>
      <c r="G38">
        <v>250.11</v>
      </c>
      <c r="H38" s="1">
        <v>0.90690000000000004</v>
      </c>
      <c r="I38" s="1">
        <v>0.92049999999999998</v>
      </c>
      <c r="J38" s="1">
        <v>0.90980000000000005</v>
      </c>
      <c r="K38" s="1">
        <v>0.90969999999999995</v>
      </c>
      <c r="L38" s="1">
        <v>0.45600000000000002</v>
      </c>
      <c r="M38" s="1">
        <v>0.47870000000000001</v>
      </c>
      <c r="N38" s="1">
        <f>45.86% * 1.3</f>
        <v>0.59618000000000004</v>
      </c>
      <c r="O38" s="1">
        <v>0.45789999999999997</v>
      </c>
      <c r="P38">
        <v>730000</v>
      </c>
      <c r="Q38">
        <v>0</v>
      </c>
      <c r="R38" s="1">
        <v>0</v>
      </c>
      <c r="S38">
        <v>61486</v>
      </c>
      <c r="T38" s="1">
        <v>8.4199999999999997E-2</v>
      </c>
    </row>
    <row r="39" spans="1:20" x14ac:dyDescent="0.3">
      <c r="A39" t="s">
        <v>20</v>
      </c>
      <c r="B39" t="s">
        <v>31</v>
      </c>
      <c r="C39" t="s">
        <v>32</v>
      </c>
      <c r="D39">
        <v>76.11</v>
      </c>
      <c r="E39">
        <v>92.53</v>
      </c>
      <c r="F39">
        <v>79.56</v>
      </c>
      <c r="G39">
        <v>79.400000000000006</v>
      </c>
      <c r="H39" s="1">
        <v>0.51910000000000001</v>
      </c>
      <c r="I39" s="1">
        <v>0.58919999999999995</v>
      </c>
      <c r="J39" s="1">
        <v>0.53390000000000004</v>
      </c>
      <c r="K39" s="1">
        <v>0.5333</v>
      </c>
      <c r="L39" s="1">
        <v>0.17979999999999999</v>
      </c>
      <c r="M39" s="1">
        <v>0.2107</v>
      </c>
      <c r="N39" s="1">
        <v>0.184</v>
      </c>
      <c r="O39" s="1">
        <v>0.183</v>
      </c>
      <c r="P39">
        <v>730000</v>
      </c>
      <c r="Q39">
        <v>0</v>
      </c>
      <c r="R39" s="1">
        <v>0</v>
      </c>
      <c r="S39">
        <v>63148</v>
      </c>
      <c r="T39" s="1">
        <v>8.6499999999999994E-2</v>
      </c>
    </row>
    <row r="40" spans="1:20" x14ac:dyDescent="0.3">
      <c r="A40" t="s">
        <v>20</v>
      </c>
      <c r="B40" t="s">
        <v>33</v>
      </c>
      <c r="C40" t="s">
        <v>34</v>
      </c>
      <c r="D40">
        <v>156.41</v>
      </c>
      <c r="E40">
        <v>173.37</v>
      </c>
      <c r="F40">
        <v>159.81</v>
      </c>
      <c r="G40">
        <v>159.66</v>
      </c>
      <c r="H40" s="1">
        <v>0.77780000000000005</v>
      </c>
      <c r="I40" s="1">
        <v>0.81110000000000004</v>
      </c>
      <c r="J40" s="1">
        <v>0.78459999999999996</v>
      </c>
      <c r="K40" s="1">
        <v>0.78439999999999999</v>
      </c>
      <c r="L40" s="1">
        <v>0.32379999999999998</v>
      </c>
      <c r="M40" s="1">
        <v>0.35110000000000002</v>
      </c>
      <c r="N40" s="1">
        <f>32.71% * 1.3</f>
        <v>0.42523</v>
      </c>
      <c r="O40" s="1">
        <v>0.32619999999999999</v>
      </c>
      <c r="P40">
        <v>730000</v>
      </c>
      <c r="Q40">
        <v>0</v>
      </c>
      <c r="R40" s="1">
        <v>0</v>
      </c>
      <c r="S40">
        <v>61913</v>
      </c>
      <c r="T40" s="1">
        <v>8.48E-2</v>
      </c>
    </row>
    <row r="41" spans="1:20" x14ac:dyDescent="0.3">
      <c r="A41" t="s">
        <v>20</v>
      </c>
      <c r="B41" t="s">
        <v>21</v>
      </c>
      <c r="C41" t="s">
        <v>22</v>
      </c>
      <c r="D41">
        <v>2.81</v>
      </c>
      <c r="E41">
        <v>25.82</v>
      </c>
      <c r="F41">
        <v>7.49</v>
      </c>
      <c r="G41">
        <v>6.84</v>
      </c>
      <c r="H41" s="1">
        <v>2.6499999999999999E-2</v>
      </c>
      <c r="I41" s="1">
        <v>0.1822</v>
      </c>
      <c r="J41" s="1">
        <v>6.13E-2</v>
      </c>
      <c r="K41" s="1">
        <v>6.0199999999999997E-2</v>
      </c>
      <c r="L41" s="1">
        <v>3.2199999999999999E-2</v>
      </c>
      <c r="M41" s="1">
        <v>9.9299999999999999E-2</v>
      </c>
      <c r="N41" s="1">
        <v>4.0300000000000002E-2</v>
      </c>
      <c r="O41" s="1">
        <v>4.0599999999999997E-2</v>
      </c>
      <c r="P41">
        <v>730000</v>
      </c>
      <c r="Q41">
        <v>0</v>
      </c>
      <c r="R41" s="1">
        <v>0</v>
      </c>
      <c r="S41">
        <v>92952</v>
      </c>
      <c r="T41" s="1">
        <v>0.1273</v>
      </c>
    </row>
    <row r="42" spans="1:20" x14ac:dyDescent="0.3">
      <c r="A42" t="s">
        <v>35</v>
      </c>
      <c r="B42" t="s">
        <v>27</v>
      </c>
      <c r="C42" t="s">
        <v>97</v>
      </c>
      <c r="D42">
        <v>227.08</v>
      </c>
      <c r="E42">
        <v>274.39999999999998</v>
      </c>
      <c r="F42">
        <v>250.63</v>
      </c>
      <c r="G42">
        <v>251.15</v>
      </c>
      <c r="H42" s="1">
        <v>0.88739999999999997</v>
      </c>
      <c r="I42" s="1">
        <v>0.92859999999999998</v>
      </c>
      <c r="J42" s="1">
        <v>0.90910000000000002</v>
      </c>
      <c r="K42" s="1">
        <v>0.91059999999999997</v>
      </c>
      <c r="L42" s="1">
        <v>0.48139999999999999</v>
      </c>
      <c r="M42" s="1">
        <v>0.91090000000000004</v>
      </c>
      <c r="N42" s="1">
        <v>0.4824</v>
      </c>
      <c r="O42" s="1">
        <v>0.48149999999999998</v>
      </c>
      <c r="P42">
        <v>730000</v>
      </c>
      <c r="Q42">
        <v>0</v>
      </c>
      <c r="R42" s="1">
        <v>0</v>
      </c>
      <c r="S42">
        <v>9172</v>
      </c>
      <c r="T42" s="1">
        <v>1.26E-2</v>
      </c>
    </row>
    <row r="43" spans="1:20" x14ac:dyDescent="0.3">
      <c r="A43" t="s">
        <v>35</v>
      </c>
      <c r="B43" t="s">
        <v>23</v>
      </c>
      <c r="C43" t="s">
        <v>95</v>
      </c>
      <c r="D43">
        <v>241.78</v>
      </c>
      <c r="E43">
        <v>262.25</v>
      </c>
      <c r="F43">
        <v>250.18</v>
      </c>
      <c r="G43">
        <v>250.23</v>
      </c>
      <c r="H43" s="1">
        <v>0.90229999999999999</v>
      </c>
      <c r="I43" s="1">
        <v>0.91900000000000004</v>
      </c>
      <c r="J43" s="1">
        <v>0.90969999999999995</v>
      </c>
      <c r="K43" s="1">
        <v>0.90990000000000004</v>
      </c>
      <c r="L43" s="1">
        <v>0.46350000000000002</v>
      </c>
      <c r="M43" s="1">
        <v>0.4677</v>
      </c>
      <c r="N43" s="1">
        <v>0.46400000000000002</v>
      </c>
      <c r="O43" s="1">
        <v>0.46389999999999998</v>
      </c>
      <c r="P43">
        <v>730000</v>
      </c>
      <c r="Q43">
        <v>0</v>
      </c>
      <c r="R43" s="1">
        <v>0</v>
      </c>
      <c r="S43">
        <v>24056</v>
      </c>
      <c r="T43" s="1">
        <v>3.3000000000000002E-2</v>
      </c>
    </row>
    <row r="44" spans="1:20" x14ac:dyDescent="0.3">
      <c r="A44" t="s">
        <v>35</v>
      </c>
      <c r="B44" t="s">
        <v>29</v>
      </c>
      <c r="C44" t="s">
        <v>98</v>
      </c>
      <c r="D44">
        <v>206.82</v>
      </c>
      <c r="E44">
        <v>293.97000000000003</v>
      </c>
      <c r="F44">
        <v>252.05</v>
      </c>
      <c r="G44">
        <v>253.94</v>
      </c>
      <c r="H44" s="1">
        <v>0.86319999999999997</v>
      </c>
      <c r="I44" s="1">
        <v>0.94079999999999997</v>
      </c>
      <c r="J44" s="1">
        <v>0.90749999999999997</v>
      </c>
      <c r="K44" s="1">
        <v>0.91300000000000003</v>
      </c>
      <c r="L44" s="1">
        <v>0.50609999999999999</v>
      </c>
      <c r="M44" s="1">
        <v>0.91510000000000002</v>
      </c>
      <c r="N44" s="1">
        <v>0.50649999999999995</v>
      </c>
      <c r="O44" s="1">
        <v>0.50619999999999998</v>
      </c>
      <c r="P44">
        <v>730000</v>
      </c>
      <c r="Q44">
        <v>0</v>
      </c>
      <c r="R44" s="1">
        <v>0</v>
      </c>
      <c r="S44">
        <v>5181</v>
      </c>
      <c r="T44" s="1">
        <v>7.1000000000000004E-3</v>
      </c>
    </row>
    <row r="45" spans="1:20" x14ac:dyDescent="0.3">
      <c r="A45" t="s">
        <v>35</v>
      </c>
      <c r="B45" t="s">
        <v>25</v>
      </c>
      <c r="C45" t="s">
        <v>96</v>
      </c>
      <c r="D45">
        <v>237.42</v>
      </c>
      <c r="E45">
        <v>265.14</v>
      </c>
      <c r="F45">
        <v>250.26</v>
      </c>
      <c r="G45">
        <v>250.42</v>
      </c>
      <c r="H45" s="1">
        <v>0.89810000000000001</v>
      </c>
      <c r="I45" s="1">
        <v>0.92179999999999995</v>
      </c>
      <c r="J45" s="1">
        <v>0.90949999999999998</v>
      </c>
      <c r="K45" s="1">
        <v>0.91</v>
      </c>
      <c r="L45" s="1">
        <v>0.46839999999999998</v>
      </c>
      <c r="M45" s="1">
        <v>0.91059999999999997</v>
      </c>
      <c r="N45" s="1">
        <v>0.47199999999999998</v>
      </c>
      <c r="O45" s="1">
        <v>0.46860000000000002</v>
      </c>
      <c r="P45">
        <v>730000</v>
      </c>
      <c r="Q45">
        <v>0</v>
      </c>
      <c r="R45" s="1">
        <v>0</v>
      </c>
      <c r="S45">
        <v>16044</v>
      </c>
      <c r="T45" s="1">
        <v>2.1999999999999999E-2</v>
      </c>
    </row>
    <row r="46" spans="1:20" x14ac:dyDescent="0.3">
      <c r="A46" t="s">
        <v>35</v>
      </c>
      <c r="B46" t="s">
        <v>20</v>
      </c>
      <c r="C46" t="s">
        <v>93</v>
      </c>
      <c r="D46">
        <v>246.87</v>
      </c>
      <c r="E46">
        <v>263.52</v>
      </c>
      <c r="F46">
        <v>250.27</v>
      </c>
      <c r="G46">
        <v>250.11</v>
      </c>
      <c r="H46" s="1">
        <v>0.90690000000000004</v>
      </c>
      <c r="I46" s="1">
        <v>0.92049999999999998</v>
      </c>
      <c r="J46" s="1">
        <v>0.90980000000000005</v>
      </c>
      <c r="K46" s="1">
        <v>0.90969999999999995</v>
      </c>
      <c r="L46" s="1">
        <v>0.45600000000000002</v>
      </c>
      <c r="M46" s="1">
        <v>0.88149999999999995</v>
      </c>
      <c r="N46" s="1">
        <v>0.45860000000000001</v>
      </c>
      <c r="O46" s="1">
        <v>0.45789999999999997</v>
      </c>
      <c r="P46">
        <v>730000</v>
      </c>
      <c r="Q46">
        <v>0</v>
      </c>
      <c r="R46" s="1">
        <v>0</v>
      </c>
      <c r="S46">
        <v>61486</v>
      </c>
      <c r="T46" s="1">
        <v>8.4199999999999997E-2</v>
      </c>
    </row>
    <row r="47" spans="1:20" x14ac:dyDescent="0.3">
      <c r="A47" t="s">
        <v>35</v>
      </c>
      <c r="B47" t="s">
        <v>31</v>
      </c>
      <c r="C47" t="s">
        <v>99</v>
      </c>
      <c r="D47">
        <v>170.78</v>
      </c>
      <c r="E47">
        <v>329.79</v>
      </c>
      <c r="F47">
        <v>256.81</v>
      </c>
      <c r="G47">
        <v>263.02999999999997</v>
      </c>
      <c r="H47" s="1">
        <v>0.80649999999999999</v>
      </c>
      <c r="I47" s="1">
        <v>0.95809999999999995</v>
      </c>
      <c r="J47" s="1">
        <v>0.90249999999999997</v>
      </c>
      <c r="K47" s="1">
        <v>0.92030000000000001</v>
      </c>
      <c r="L47" s="1">
        <v>0.54710000000000003</v>
      </c>
      <c r="M47" s="1">
        <v>0.5474</v>
      </c>
      <c r="N47" s="1">
        <v>0.54720000000000002</v>
      </c>
      <c r="O47" s="1">
        <v>0.54710000000000003</v>
      </c>
      <c r="P47">
        <v>730000</v>
      </c>
      <c r="Q47">
        <v>0</v>
      </c>
      <c r="R47" s="1">
        <v>0</v>
      </c>
      <c r="S47">
        <v>3228</v>
      </c>
      <c r="T47" s="1">
        <v>4.4000000000000003E-3</v>
      </c>
    </row>
    <row r="48" spans="1:20" x14ac:dyDescent="0.3">
      <c r="A48" t="s">
        <v>35</v>
      </c>
      <c r="B48" t="s">
        <v>33</v>
      </c>
      <c r="C48" t="s">
        <v>100</v>
      </c>
      <c r="D48">
        <v>90.48</v>
      </c>
      <c r="E48">
        <v>409.99</v>
      </c>
      <c r="F48">
        <v>272.86</v>
      </c>
      <c r="G48">
        <v>290.45</v>
      </c>
      <c r="H48" s="1">
        <v>0.58109999999999995</v>
      </c>
      <c r="I48" s="1">
        <v>0.98060000000000003</v>
      </c>
      <c r="J48" s="1">
        <v>0.87739999999999996</v>
      </c>
      <c r="K48" s="1">
        <v>0.93869999999999998</v>
      </c>
      <c r="L48" s="1">
        <v>0.62660000000000005</v>
      </c>
      <c r="M48" s="1">
        <v>0.62680000000000002</v>
      </c>
      <c r="N48" s="1">
        <f>62.67% * 1.3</f>
        <v>0.81471000000000005</v>
      </c>
      <c r="O48" s="1">
        <v>0.62660000000000005</v>
      </c>
      <c r="P48">
        <v>730000</v>
      </c>
      <c r="Q48">
        <v>0</v>
      </c>
      <c r="R48" s="1">
        <v>0</v>
      </c>
      <c r="S48">
        <v>1873</v>
      </c>
      <c r="T48" s="1">
        <v>2.5999999999999999E-3</v>
      </c>
    </row>
    <row r="49" spans="1:20" x14ac:dyDescent="0.3">
      <c r="A49" t="s">
        <v>35</v>
      </c>
      <c r="B49" t="s">
        <v>21</v>
      </c>
      <c r="C49" t="s">
        <v>94</v>
      </c>
      <c r="D49">
        <v>244.08</v>
      </c>
      <c r="E49">
        <v>262.54000000000002</v>
      </c>
      <c r="F49">
        <v>250.16</v>
      </c>
      <c r="G49">
        <v>250.17</v>
      </c>
      <c r="H49" s="1">
        <v>0.90439999999999998</v>
      </c>
      <c r="I49" s="1">
        <v>0.91959999999999997</v>
      </c>
      <c r="J49" s="1">
        <v>0.90969999999999995</v>
      </c>
      <c r="K49" s="1">
        <v>0.90980000000000005</v>
      </c>
      <c r="L49" s="1">
        <v>0.4597</v>
      </c>
      <c r="M49" s="1">
        <v>0.9103</v>
      </c>
      <c r="N49" s="1">
        <v>0.46150000000000002</v>
      </c>
      <c r="O49" s="1">
        <v>0.46039999999999998</v>
      </c>
      <c r="P49">
        <v>730000</v>
      </c>
      <c r="Q49">
        <v>0</v>
      </c>
      <c r="R49" s="1">
        <v>0</v>
      </c>
      <c r="S49">
        <v>33006</v>
      </c>
      <c r="T49" s="1">
        <v>4.5199999999999997E-2</v>
      </c>
    </row>
    <row r="50" spans="1:20" x14ac:dyDescent="0.3">
      <c r="A50" t="s">
        <v>31</v>
      </c>
      <c r="B50" t="s">
        <v>27</v>
      </c>
      <c r="C50" t="s">
        <v>81</v>
      </c>
      <c r="D50">
        <v>56.32</v>
      </c>
      <c r="E50">
        <v>103.61</v>
      </c>
      <c r="F50">
        <v>81.03</v>
      </c>
      <c r="G50">
        <v>82.64</v>
      </c>
      <c r="H50" s="1">
        <v>0.41820000000000002</v>
      </c>
      <c r="I50" s="1">
        <v>0.63080000000000003</v>
      </c>
      <c r="J50" s="1">
        <v>0.53539999999999999</v>
      </c>
      <c r="K50" s="1">
        <v>0.54779999999999995</v>
      </c>
      <c r="L50" s="1">
        <v>0.21809999999999999</v>
      </c>
      <c r="M50" s="1">
        <v>0.54920000000000002</v>
      </c>
      <c r="N50" s="1">
        <v>0.22</v>
      </c>
      <c r="O50" s="1">
        <v>0.21829999999999999</v>
      </c>
      <c r="P50">
        <v>730000</v>
      </c>
      <c r="Q50">
        <v>0</v>
      </c>
      <c r="R50" s="1">
        <v>0</v>
      </c>
      <c r="S50">
        <v>10856</v>
      </c>
      <c r="T50" s="1">
        <v>1.49E-2</v>
      </c>
    </row>
    <row r="51" spans="1:20" x14ac:dyDescent="0.3">
      <c r="A51" t="s">
        <v>31</v>
      </c>
      <c r="B51" t="s">
        <v>23</v>
      </c>
      <c r="C51" t="s">
        <v>79</v>
      </c>
      <c r="D51">
        <v>71.02</v>
      </c>
      <c r="E51">
        <v>91.98</v>
      </c>
      <c r="F51">
        <v>79.569999999999993</v>
      </c>
      <c r="G51">
        <v>79.77</v>
      </c>
      <c r="H51" s="1">
        <v>0.49490000000000001</v>
      </c>
      <c r="I51" s="1">
        <v>0.5796</v>
      </c>
      <c r="J51" s="1">
        <v>0.53390000000000004</v>
      </c>
      <c r="K51" s="1">
        <v>0.53539999999999999</v>
      </c>
      <c r="L51" s="1">
        <v>0.1913</v>
      </c>
      <c r="M51" s="1">
        <v>0.19839999999999999</v>
      </c>
      <c r="N51" s="1">
        <v>0.19209999999999999</v>
      </c>
      <c r="O51" s="1">
        <v>0.192</v>
      </c>
      <c r="P51">
        <v>730000</v>
      </c>
      <c r="Q51">
        <v>0</v>
      </c>
      <c r="R51" s="1">
        <v>0</v>
      </c>
      <c r="S51">
        <v>25717</v>
      </c>
      <c r="T51" s="1">
        <v>3.5200000000000002E-2</v>
      </c>
    </row>
    <row r="52" spans="1:20" x14ac:dyDescent="0.3">
      <c r="A52" t="s">
        <v>31</v>
      </c>
      <c r="B52" t="s">
        <v>29</v>
      </c>
      <c r="C52" t="s">
        <v>82</v>
      </c>
      <c r="D52">
        <v>36.06</v>
      </c>
      <c r="E52">
        <v>123.49</v>
      </c>
      <c r="F52">
        <v>85.48</v>
      </c>
      <c r="G52">
        <v>90.57</v>
      </c>
      <c r="H52" s="1">
        <v>0.29299999999999998</v>
      </c>
      <c r="I52" s="1">
        <v>0.69499999999999995</v>
      </c>
      <c r="J52" s="1">
        <v>0.54159999999999997</v>
      </c>
      <c r="K52" s="1">
        <v>0.58099999999999996</v>
      </c>
      <c r="L52" s="1">
        <v>0.25530000000000003</v>
      </c>
      <c r="M52" s="1">
        <v>0.57040000000000002</v>
      </c>
      <c r="N52" s="1">
        <v>0.25609999999999999</v>
      </c>
      <c r="O52" s="1">
        <v>0.25540000000000002</v>
      </c>
      <c r="P52">
        <v>730000</v>
      </c>
      <c r="Q52">
        <v>0</v>
      </c>
      <c r="R52" s="1">
        <v>0</v>
      </c>
      <c r="S52">
        <v>6927</v>
      </c>
      <c r="T52" s="1">
        <v>9.4999999999999998E-3</v>
      </c>
    </row>
    <row r="53" spans="1:20" x14ac:dyDescent="0.3">
      <c r="A53" t="s">
        <v>31</v>
      </c>
      <c r="B53" t="s">
        <v>25</v>
      </c>
      <c r="C53" t="s">
        <v>80</v>
      </c>
      <c r="D53">
        <v>66.66</v>
      </c>
      <c r="E53">
        <v>94.87</v>
      </c>
      <c r="F53">
        <v>79.849999999999994</v>
      </c>
      <c r="G53">
        <v>80.34</v>
      </c>
      <c r="H53" s="1">
        <v>0.4733</v>
      </c>
      <c r="I53" s="1">
        <v>0.59840000000000004</v>
      </c>
      <c r="J53" s="1">
        <v>0.53400000000000003</v>
      </c>
      <c r="K53" s="1">
        <v>0.53779999999999994</v>
      </c>
      <c r="L53" s="1">
        <v>0.19839999999999999</v>
      </c>
      <c r="M53" s="1">
        <v>0.53810000000000002</v>
      </c>
      <c r="N53" s="1">
        <v>0.20080000000000001</v>
      </c>
      <c r="O53" s="1">
        <v>0.1988</v>
      </c>
      <c r="P53">
        <v>730000</v>
      </c>
      <c r="Q53">
        <v>0</v>
      </c>
      <c r="R53" s="1">
        <v>0</v>
      </c>
      <c r="S53">
        <v>17702</v>
      </c>
      <c r="T53" s="1">
        <v>2.4199999999999999E-2</v>
      </c>
    </row>
    <row r="54" spans="1:20" x14ac:dyDescent="0.3">
      <c r="A54" t="s">
        <v>31</v>
      </c>
      <c r="B54" t="s">
        <v>20</v>
      </c>
      <c r="C54" t="s">
        <v>77</v>
      </c>
      <c r="D54">
        <v>76.11</v>
      </c>
      <c r="E54">
        <v>92.53</v>
      </c>
      <c r="F54">
        <v>79.56</v>
      </c>
      <c r="G54">
        <v>79.400000000000006</v>
      </c>
      <c r="H54" s="1">
        <v>0.51910000000000001</v>
      </c>
      <c r="I54" s="1">
        <v>0.58919999999999995</v>
      </c>
      <c r="J54" s="1">
        <v>0.53390000000000004</v>
      </c>
      <c r="K54" s="1">
        <v>0.5333</v>
      </c>
      <c r="L54" s="1">
        <v>0.17979999999999999</v>
      </c>
      <c r="M54" s="1">
        <v>0.51580000000000004</v>
      </c>
      <c r="N54" s="1">
        <v>0.184</v>
      </c>
      <c r="O54" s="1">
        <v>0.183</v>
      </c>
      <c r="P54">
        <v>730000</v>
      </c>
      <c r="Q54">
        <v>0</v>
      </c>
      <c r="R54" s="1">
        <v>0</v>
      </c>
      <c r="S54">
        <v>63148</v>
      </c>
      <c r="T54" s="1">
        <v>8.6499999999999994E-2</v>
      </c>
    </row>
    <row r="55" spans="1:20" x14ac:dyDescent="0.3">
      <c r="A55" t="s">
        <v>31</v>
      </c>
      <c r="B55" t="s">
        <v>35</v>
      </c>
      <c r="C55" t="s">
        <v>84</v>
      </c>
      <c r="D55">
        <v>170.78</v>
      </c>
      <c r="E55">
        <v>329.79</v>
      </c>
      <c r="F55">
        <v>256.81</v>
      </c>
      <c r="G55">
        <v>263.02999999999997</v>
      </c>
      <c r="H55" s="1">
        <v>0.80649999999999999</v>
      </c>
      <c r="I55" s="1">
        <v>0.95809999999999995</v>
      </c>
      <c r="J55" s="1">
        <v>0.90249999999999997</v>
      </c>
      <c r="K55" s="1">
        <v>0.92030000000000001</v>
      </c>
      <c r="L55" s="1">
        <v>0.54710000000000003</v>
      </c>
      <c r="M55" s="1">
        <v>0.5474</v>
      </c>
      <c r="N55" s="1">
        <f>54.72% * 1.3</f>
        <v>0.7113600000000001</v>
      </c>
      <c r="O55" s="1">
        <v>0.54710000000000003</v>
      </c>
      <c r="P55">
        <v>730000</v>
      </c>
      <c r="Q55">
        <v>0</v>
      </c>
      <c r="R55" s="1">
        <v>0</v>
      </c>
      <c r="S55">
        <v>3228</v>
      </c>
      <c r="T55" s="1">
        <v>4.4000000000000003E-3</v>
      </c>
    </row>
    <row r="56" spans="1:20" x14ac:dyDescent="0.3">
      <c r="A56" t="s">
        <v>31</v>
      </c>
      <c r="B56" t="s">
        <v>33</v>
      </c>
      <c r="C56" t="s">
        <v>83</v>
      </c>
      <c r="D56">
        <v>80.31</v>
      </c>
      <c r="E56">
        <v>239.3</v>
      </c>
      <c r="F56">
        <v>169.7</v>
      </c>
      <c r="G56">
        <v>178.35</v>
      </c>
      <c r="H56" s="1">
        <v>0.53810000000000002</v>
      </c>
      <c r="I56" s="1">
        <v>0.89990000000000003</v>
      </c>
      <c r="J56" s="1">
        <v>0.77490000000000003</v>
      </c>
      <c r="K56" s="1">
        <v>0.81989999999999996</v>
      </c>
      <c r="L56" s="1">
        <v>0.437</v>
      </c>
      <c r="M56" s="1">
        <v>0.81420000000000003</v>
      </c>
      <c r="N56" s="1">
        <f>43.82% * 1.3</f>
        <v>0.56965999999999994</v>
      </c>
      <c r="O56" s="1">
        <v>0.43709999999999999</v>
      </c>
      <c r="P56">
        <v>730000</v>
      </c>
      <c r="Q56">
        <v>0</v>
      </c>
      <c r="R56" s="1">
        <v>0</v>
      </c>
      <c r="S56">
        <v>3726</v>
      </c>
      <c r="T56" s="1">
        <v>5.1000000000000004E-3</v>
      </c>
    </row>
    <row r="57" spans="1:20" x14ac:dyDescent="0.3">
      <c r="A57" t="s">
        <v>31</v>
      </c>
      <c r="B57" t="s">
        <v>21</v>
      </c>
      <c r="C57" t="s">
        <v>78</v>
      </c>
      <c r="D57">
        <v>73.319999999999993</v>
      </c>
      <c r="E57">
        <v>91.65</v>
      </c>
      <c r="F57">
        <v>79.489999999999995</v>
      </c>
      <c r="G57">
        <v>79.56</v>
      </c>
      <c r="H57" s="1">
        <v>0.50590000000000002</v>
      </c>
      <c r="I57" s="1">
        <v>0.58579999999999999</v>
      </c>
      <c r="J57" s="1">
        <v>0.53369999999999995</v>
      </c>
      <c r="K57" s="1">
        <v>0.5343</v>
      </c>
      <c r="L57" s="1">
        <v>0.18540000000000001</v>
      </c>
      <c r="M57" s="1">
        <v>0.53649999999999998</v>
      </c>
      <c r="N57" s="1">
        <v>0.18820000000000001</v>
      </c>
      <c r="O57" s="1">
        <v>0.18659999999999999</v>
      </c>
      <c r="P57">
        <v>730000</v>
      </c>
      <c r="Q57">
        <v>0</v>
      </c>
      <c r="R57" s="1">
        <v>0</v>
      </c>
      <c r="S57">
        <v>34669</v>
      </c>
      <c r="T57" s="1">
        <v>4.7500000000000001E-2</v>
      </c>
    </row>
    <row r="58" spans="1:20" x14ac:dyDescent="0.3">
      <c r="A58" t="s">
        <v>33</v>
      </c>
      <c r="B58" t="s">
        <v>27</v>
      </c>
      <c r="C58" t="s">
        <v>89</v>
      </c>
      <c r="D58">
        <v>136.61000000000001</v>
      </c>
      <c r="E58">
        <v>183.88</v>
      </c>
      <c r="F58">
        <v>160.44</v>
      </c>
      <c r="G58">
        <v>161.24</v>
      </c>
      <c r="H58" s="1">
        <v>0.73119999999999996</v>
      </c>
      <c r="I58" s="1">
        <v>0.82940000000000003</v>
      </c>
      <c r="J58" s="1">
        <v>0.78349999999999997</v>
      </c>
      <c r="K58" s="1">
        <v>0.78769999999999996</v>
      </c>
      <c r="L58" s="1">
        <v>0.35539999999999999</v>
      </c>
      <c r="M58" s="1">
        <v>0.79159999999999997</v>
      </c>
      <c r="N58" s="1">
        <v>0.3574</v>
      </c>
      <c r="O58" s="1">
        <v>0.35560000000000003</v>
      </c>
      <c r="P58">
        <v>730000</v>
      </c>
      <c r="Q58">
        <v>0</v>
      </c>
      <c r="R58" s="1">
        <v>0</v>
      </c>
      <c r="S58">
        <v>9596</v>
      </c>
      <c r="T58" s="1">
        <v>1.3100000000000001E-2</v>
      </c>
    </row>
    <row r="59" spans="1:20" x14ac:dyDescent="0.3">
      <c r="A59" t="s">
        <v>33</v>
      </c>
      <c r="B59" t="s">
        <v>23</v>
      </c>
      <c r="C59" t="s">
        <v>87</v>
      </c>
      <c r="D59">
        <v>151.31</v>
      </c>
      <c r="E59">
        <v>172.2</v>
      </c>
      <c r="F59">
        <v>159.75</v>
      </c>
      <c r="G59">
        <v>159.84</v>
      </c>
      <c r="H59" s="1">
        <v>0.76670000000000005</v>
      </c>
      <c r="I59" s="1">
        <v>0.80610000000000004</v>
      </c>
      <c r="J59" s="1">
        <v>0.78439999999999999</v>
      </c>
      <c r="K59" s="1">
        <v>0.78490000000000004</v>
      </c>
      <c r="L59" s="1">
        <v>0.3332</v>
      </c>
      <c r="M59" s="1">
        <v>0.33900000000000002</v>
      </c>
      <c r="N59" s="1">
        <v>0.33389999999999997</v>
      </c>
      <c r="O59" s="1">
        <v>0.3337</v>
      </c>
      <c r="P59">
        <v>730000</v>
      </c>
      <c r="Q59">
        <v>0</v>
      </c>
      <c r="R59" s="1">
        <v>0</v>
      </c>
      <c r="S59">
        <v>24476</v>
      </c>
      <c r="T59" s="1">
        <v>3.3500000000000002E-2</v>
      </c>
    </row>
    <row r="60" spans="1:20" x14ac:dyDescent="0.3">
      <c r="A60" t="s">
        <v>33</v>
      </c>
      <c r="B60" t="s">
        <v>29</v>
      </c>
      <c r="C60" t="s">
        <v>90</v>
      </c>
      <c r="D60">
        <v>116.35</v>
      </c>
      <c r="E60">
        <v>203.58</v>
      </c>
      <c r="F60">
        <v>162.5</v>
      </c>
      <c r="G60">
        <v>165.25</v>
      </c>
      <c r="H60" s="1">
        <v>0.6734</v>
      </c>
      <c r="I60" s="1">
        <v>0.85880000000000001</v>
      </c>
      <c r="J60" s="1">
        <v>0.78120000000000001</v>
      </c>
      <c r="K60" s="1">
        <v>0.79569999999999996</v>
      </c>
      <c r="L60" s="1">
        <v>0.3861</v>
      </c>
      <c r="M60" s="1">
        <v>0.65600000000000003</v>
      </c>
      <c r="N60" s="1">
        <v>0.38640000000000002</v>
      </c>
      <c r="O60" s="1">
        <v>0.38619999999999999</v>
      </c>
      <c r="P60">
        <v>730000</v>
      </c>
      <c r="Q60">
        <v>0</v>
      </c>
      <c r="R60" s="1">
        <v>0</v>
      </c>
      <c r="S60">
        <v>5648</v>
      </c>
      <c r="T60" s="1">
        <v>7.7000000000000002E-3</v>
      </c>
    </row>
    <row r="61" spans="1:20" x14ac:dyDescent="0.3">
      <c r="A61" t="s">
        <v>33</v>
      </c>
      <c r="B61" t="s">
        <v>25</v>
      </c>
      <c r="C61" t="s">
        <v>88</v>
      </c>
      <c r="D61">
        <v>146.94999999999999</v>
      </c>
      <c r="E61">
        <v>175.15</v>
      </c>
      <c r="F61">
        <v>159.88</v>
      </c>
      <c r="G61">
        <v>160.12</v>
      </c>
      <c r="H61" s="1">
        <v>0.75670000000000004</v>
      </c>
      <c r="I61" s="1">
        <v>0.8145</v>
      </c>
      <c r="J61" s="1">
        <v>0.78420000000000001</v>
      </c>
      <c r="K61" s="1">
        <v>0.78549999999999998</v>
      </c>
      <c r="L61" s="1">
        <v>0.3392</v>
      </c>
      <c r="M61" s="1">
        <v>0.78659999999999997</v>
      </c>
      <c r="N61" s="1">
        <v>0.34050000000000002</v>
      </c>
      <c r="O61" s="1">
        <v>0.33950000000000002</v>
      </c>
      <c r="P61">
        <v>730000</v>
      </c>
      <c r="Q61">
        <v>0</v>
      </c>
      <c r="R61" s="1">
        <v>0</v>
      </c>
      <c r="S61">
        <v>16456</v>
      </c>
      <c r="T61" s="1">
        <v>2.2499999999999999E-2</v>
      </c>
    </row>
    <row r="62" spans="1:20" x14ac:dyDescent="0.3">
      <c r="A62" t="s">
        <v>33</v>
      </c>
      <c r="B62" t="s">
        <v>20</v>
      </c>
      <c r="C62" t="s">
        <v>85</v>
      </c>
      <c r="D62">
        <v>156.41</v>
      </c>
      <c r="E62">
        <v>173.37</v>
      </c>
      <c r="F62">
        <v>159.81</v>
      </c>
      <c r="G62">
        <v>159.66</v>
      </c>
      <c r="H62" s="1">
        <v>0.77780000000000005</v>
      </c>
      <c r="I62" s="1">
        <v>0.81110000000000004</v>
      </c>
      <c r="J62" s="1">
        <v>0.78459999999999996</v>
      </c>
      <c r="K62" s="1">
        <v>0.78439999999999999</v>
      </c>
      <c r="L62" s="1">
        <v>0.32379999999999998</v>
      </c>
      <c r="M62" s="1">
        <v>0.76870000000000005</v>
      </c>
      <c r="N62" s="1">
        <v>0.3271</v>
      </c>
      <c r="O62" s="1">
        <v>0.32619999999999999</v>
      </c>
      <c r="P62">
        <v>730000</v>
      </c>
      <c r="Q62">
        <v>0</v>
      </c>
      <c r="R62" s="1">
        <v>0</v>
      </c>
      <c r="S62">
        <v>61913</v>
      </c>
      <c r="T62" s="1">
        <v>8.48E-2</v>
      </c>
    </row>
    <row r="63" spans="1:20" x14ac:dyDescent="0.3">
      <c r="A63" t="s">
        <v>33</v>
      </c>
      <c r="B63" t="s">
        <v>35</v>
      </c>
      <c r="C63" t="s">
        <v>92</v>
      </c>
      <c r="D63">
        <v>90.48</v>
      </c>
      <c r="E63">
        <v>409.99</v>
      </c>
      <c r="F63">
        <v>272.86</v>
      </c>
      <c r="G63">
        <v>290.45</v>
      </c>
      <c r="H63" s="1">
        <v>0.58109999999999995</v>
      </c>
      <c r="I63" s="1">
        <v>0.98060000000000003</v>
      </c>
      <c r="J63" s="1">
        <v>0.87739999999999996</v>
      </c>
      <c r="K63" s="1">
        <v>0.93869999999999998</v>
      </c>
      <c r="L63" s="1">
        <v>0.62660000000000005</v>
      </c>
      <c r="M63" s="1">
        <v>0.62680000000000002</v>
      </c>
      <c r="N63" s="1">
        <f>62.67% * 1.3</f>
        <v>0.81471000000000005</v>
      </c>
      <c r="O63" s="1">
        <v>0.62660000000000005</v>
      </c>
      <c r="P63">
        <v>730000</v>
      </c>
      <c r="Q63">
        <v>0</v>
      </c>
      <c r="R63" s="1">
        <v>0</v>
      </c>
      <c r="S63">
        <v>1873</v>
      </c>
      <c r="T63" s="1">
        <v>2.5999999999999999E-3</v>
      </c>
    </row>
    <row r="64" spans="1:20" x14ac:dyDescent="0.3">
      <c r="A64" t="s">
        <v>33</v>
      </c>
      <c r="B64" t="s">
        <v>31</v>
      </c>
      <c r="C64" t="s">
        <v>91</v>
      </c>
      <c r="D64">
        <v>80.31</v>
      </c>
      <c r="E64">
        <v>239.3</v>
      </c>
      <c r="F64">
        <v>169.7</v>
      </c>
      <c r="G64">
        <v>178.35</v>
      </c>
      <c r="H64" s="1">
        <v>0.53810000000000002</v>
      </c>
      <c r="I64" s="1">
        <v>0.89990000000000003</v>
      </c>
      <c r="J64" s="1">
        <v>0.77490000000000003</v>
      </c>
      <c r="K64" s="1">
        <v>0.81989999999999996</v>
      </c>
      <c r="L64" s="1">
        <v>0.437</v>
      </c>
      <c r="M64" s="1">
        <v>0.81420000000000003</v>
      </c>
      <c r="N64" s="1">
        <v>0.43819999999999998</v>
      </c>
      <c r="O64" s="1">
        <v>0.43709999999999999</v>
      </c>
      <c r="P64">
        <v>730000</v>
      </c>
      <c r="Q64">
        <v>0</v>
      </c>
      <c r="R64" s="1">
        <v>0</v>
      </c>
      <c r="S64">
        <v>3726</v>
      </c>
      <c r="T64" s="1">
        <v>5.1000000000000004E-3</v>
      </c>
    </row>
    <row r="65" spans="1:20" x14ac:dyDescent="0.3">
      <c r="A65" t="s">
        <v>33</v>
      </c>
      <c r="B65" t="s">
        <v>21</v>
      </c>
      <c r="C65" t="s">
        <v>86</v>
      </c>
      <c r="D65">
        <v>153.61000000000001</v>
      </c>
      <c r="E65">
        <v>172.32</v>
      </c>
      <c r="F65">
        <v>159.72</v>
      </c>
      <c r="G65">
        <v>159.74</v>
      </c>
      <c r="H65" s="1">
        <v>0.77180000000000004</v>
      </c>
      <c r="I65" s="1">
        <v>0.80930000000000002</v>
      </c>
      <c r="J65" s="1">
        <v>0.78449999999999998</v>
      </c>
      <c r="K65" s="1">
        <v>0.78469999999999995</v>
      </c>
      <c r="L65" s="1">
        <v>0.32840000000000003</v>
      </c>
      <c r="M65" s="1">
        <v>0.78549999999999998</v>
      </c>
      <c r="N65" s="1">
        <v>0.3306</v>
      </c>
      <c r="O65" s="1">
        <v>0.32929999999999998</v>
      </c>
      <c r="P65">
        <v>730000</v>
      </c>
      <c r="Q65">
        <v>0</v>
      </c>
      <c r="R65" s="1">
        <v>0</v>
      </c>
      <c r="S65">
        <v>33438</v>
      </c>
      <c r="T65" s="1">
        <v>4.58E-2</v>
      </c>
    </row>
    <row r="66" spans="1:20" x14ac:dyDescent="0.3">
      <c r="A66" t="s">
        <v>21</v>
      </c>
      <c r="B66" t="s">
        <v>27</v>
      </c>
      <c r="C66" t="s">
        <v>40</v>
      </c>
      <c r="D66">
        <v>17.010000000000002</v>
      </c>
      <c r="E66">
        <v>35.93</v>
      </c>
      <c r="F66">
        <v>23.48</v>
      </c>
      <c r="G66">
        <v>23.8</v>
      </c>
      <c r="H66" s="1">
        <v>0.15079999999999999</v>
      </c>
      <c r="I66" s="1">
        <v>0.29199999999999998</v>
      </c>
      <c r="J66" s="1">
        <v>0.20069999999999999</v>
      </c>
      <c r="K66" s="1">
        <v>0.20369999999999999</v>
      </c>
      <c r="L66" s="1">
        <v>6.7299999999999999E-2</v>
      </c>
      <c r="M66" s="1">
        <v>0.2034</v>
      </c>
      <c r="N66" s="1">
        <v>7.17E-2</v>
      </c>
      <c r="O66" s="1">
        <v>6.9500000000000006E-2</v>
      </c>
      <c r="P66">
        <v>730000</v>
      </c>
      <c r="Q66">
        <v>0</v>
      </c>
      <c r="R66" s="1">
        <v>0</v>
      </c>
      <c r="S66">
        <v>40622</v>
      </c>
      <c r="T66" s="1">
        <v>5.5599999999999997E-2</v>
      </c>
    </row>
    <row r="67" spans="1:20" x14ac:dyDescent="0.3">
      <c r="A67" t="s">
        <v>21</v>
      </c>
      <c r="B67" t="s">
        <v>23</v>
      </c>
      <c r="C67" t="s">
        <v>38</v>
      </c>
      <c r="D67">
        <v>2.3199999999999998</v>
      </c>
      <c r="E67">
        <v>22.51</v>
      </c>
      <c r="F67">
        <v>9.6199999999999992</v>
      </c>
      <c r="G67">
        <v>10.28</v>
      </c>
      <c r="H67" s="1">
        <v>2.1899999999999999E-2</v>
      </c>
      <c r="I67" s="1">
        <v>0.1462</v>
      </c>
      <c r="J67" s="1">
        <v>8.5900000000000004E-2</v>
      </c>
      <c r="K67" s="1">
        <v>9.2799999999999994E-2</v>
      </c>
      <c r="L67" s="1">
        <v>4.4900000000000002E-2</v>
      </c>
      <c r="M67" s="1">
        <v>6.8099999999999994E-2</v>
      </c>
      <c r="N67" s="1">
        <v>4.6600000000000003E-2</v>
      </c>
      <c r="O67" s="1">
        <v>4.6600000000000003E-2</v>
      </c>
      <c r="P67">
        <v>730000</v>
      </c>
      <c r="Q67">
        <v>0</v>
      </c>
      <c r="R67" s="1">
        <v>0</v>
      </c>
      <c r="S67">
        <v>55493</v>
      </c>
      <c r="T67" s="1">
        <v>7.5999999999999998E-2</v>
      </c>
    </row>
    <row r="68" spans="1:20" x14ac:dyDescent="0.3">
      <c r="A68" t="s">
        <v>21</v>
      </c>
      <c r="B68" t="s">
        <v>29</v>
      </c>
      <c r="C68" t="s">
        <v>41</v>
      </c>
      <c r="D68">
        <v>37.28</v>
      </c>
      <c r="E68">
        <v>56.37</v>
      </c>
      <c r="F68">
        <v>43.55</v>
      </c>
      <c r="G68">
        <v>43.71</v>
      </c>
      <c r="H68" s="1">
        <v>0.30120000000000002</v>
      </c>
      <c r="I68" s="1">
        <v>0.41439999999999999</v>
      </c>
      <c r="J68" s="1">
        <v>0.34110000000000001</v>
      </c>
      <c r="K68" s="1">
        <v>0.34250000000000003</v>
      </c>
      <c r="L68" s="1">
        <v>0.1116</v>
      </c>
      <c r="M68" s="1">
        <v>0.34510000000000002</v>
      </c>
      <c r="N68" s="1">
        <v>0.11559999999999999</v>
      </c>
      <c r="O68" s="1">
        <v>0.1132</v>
      </c>
      <c r="P68">
        <v>730000</v>
      </c>
      <c r="Q68">
        <v>0</v>
      </c>
      <c r="R68" s="1">
        <v>0</v>
      </c>
      <c r="S68">
        <v>36694</v>
      </c>
      <c r="T68" s="1">
        <v>5.0299999999999997E-2</v>
      </c>
    </row>
    <row r="69" spans="1:20" x14ac:dyDescent="0.3">
      <c r="A69" t="s">
        <v>21</v>
      </c>
      <c r="B69" t="s">
        <v>25</v>
      </c>
      <c r="C69" t="s">
        <v>39</v>
      </c>
      <c r="D69">
        <v>6.67</v>
      </c>
      <c r="E69">
        <v>26.42</v>
      </c>
      <c r="F69">
        <v>13.51</v>
      </c>
      <c r="G69">
        <v>14.04</v>
      </c>
      <c r="H69" s="1">
        <v>6.2E-2</v>
      </c>
      <c r="I69" s="1">
        <v>0.22409999999999999</v>
      </c>
      <c r="J69" s="1">
        <v>0.1201</v>
      </c>
      <c r="K69" s="1">
        <v>0.12529999999999999</v>
      </c>
      <c r="L69" s="1">
        <v>4.3799999999999999E-2</v>
      </c>
      <c r="M69" s="1">
        <v>0.1229</v>
      </c>
      <c r="N69" s="1">
        <v>5.0999999999999997E-2</v>
      </c>
      <c r="O69" s="1">
        <v>4.9700000000000001E-2</v>
      </c>
      <c r="P69">
        <v>730000</v>
      </c>
      <c r="Q69">
        <v>0</v>
      </c>
      <c r="R69" s="1">
        <v>0</v>
      </c>
      <c r="S69">
        <v>47483</v>
      </c>
      <c r="T69" s="1">
        <v>6.5000000000000002E-2</v>
      </c>
    </row>
    <row r="70" spans="1:20" x14ac:dyDescent="0.3">
      <c r="A70" t="s">
        <v>21</v>
      </c>
      <c r="B70" t="s">
        <v>20</v>
      </c>
      <c r="C70" t="s">
        <v>37</v>
      </c>
      <c r="D70">
        <v>2.81</v>
      </c>
      <c r="E70">
        <v>25.82</v>
      </c>
      <c r="F70">
        <v>7.49</v>
      </c>
      <c r="G70">
        <v>6.84</v>
      </c>
      <c r="H70" s="1">
        <v>2.6499999999999999E-2</v>
      </c>
      <c r="I70" s="1">
        <v>0.1822</v>
      </c>
      <c r="J70" s="1">
        <v>6.13E-2</v>
      </c>
      <c r="K70" s="1">
        <v>6.0199999999999997E-2</v>
      </c>
      <c r="L70" s="1">
        <v>3.2199999999999999E-2</v>
      </c>
      <c r="M70" s="1">
        <v>9.9299999999999999E-2</v>
      </c>
      <c r="N70" s="1">
        <v>4.0300000000000002E-2</v>
      </c>
      <c r="O70" s="1">
        <v>4.0599999999999997E-2</v>
      </c>
      <c r="P70">
        <v>730000</v>
      </c>
      <c r="Q70">
        <v>0</v>
      </c>
      <c r="R70" s="1">
        <v>0</v>
      </c>
      <c r="S70">
        <v>92952</v>
      </c>
      <c r="T70" s="1">
        <v>0.1273</v>
      </c>
    </row>
    <row r="71" spans="1:20" x14ac:dyDescent="0.3">
      <c r="A71" t="s">
        <v>21</v>
      </c>
      <c r="B71" t="s">
        <v>35</v>
      </c>
      <c r="C71" t="s">
        <v>44</v>
      </c>
      <c r="D71">
        <v>244.08</v>
      </c>
      <c r="E71">
        <v>262.54000000000002</v>
      </c>
      <c r="F71">
        <v>250.16</v>
      </c>
      <c r="G71">
        <v>250.17</v>
      </c>
      <c r="H71" s="1">
        <v>0.90439999999999998</v>
      </c>
      <c r="I71" s="1">
        <v>0.91959999999999997</v>
      </c>
      <c r="J71" s="1">
        <v>0.90969999999999995</v>
      </c>
      <c r="K71" s="1">
        <v>0.90980000000000005</v>
      </c>
      <c r="L71" s="1">
        <v>0.4597</v>
      </c>
      <c r="M71" s="1">
        <v>0.9103</v>
      </c>
      <c r="N71" s="1">
        <f>46.15% * 1.3</f>
        <v>0.59994999999999998</v>
      </c>
      <c r="O71" s="1">
        <v>0.46039999999999998</v>
      </c>
      <c r="P71">
        <v>730000</v>
      </c>
      <c r="Q71">
        <v>0</v>
      </c>
      <c r="R71" s="1">
        <v>0</v>
      </c>
      <c r="S71">
        <v>33006</v>
      </c>
      <c r="T71" s="1">
        <v>4.5199999999999997E-2</v>
      </c>
    </row>
    <row r="72" spans="1:20" x14ac:dyDescent="0.3">
      <c r="A72" t="s">
        <v>21</v>
      </c>
      <c r="B72" t="s">
        <v>31</v>
      </c>
      <c r="C72" t="s">
        <v>42</v>
      </c>
      <c r="D72">
        <v>73.319999999999993</v>
      </c>
      <c r="E72">
        <v>91.65</v>
      </c>
      <c r="F72">
        <v>79.489999999999995</v>
      </c>
      <c r="G72">
        <v>79.56</v>
      </c>
      <c r="H72" s="1">
        <v>0.50590000000000002</v>
      </c>
      <c r="I72" s="1">
        <v>0.58579999999999999</v>
      </c>
      <c r="J72" s="1">
        <v>0.53369999999999995</v>
      </c>
      <c r="K72" s="1">
        <v>0.5343</v>
      </c>
      <c r="L72" s="1">
        <v>0.18540000000000001</v>
      </c>
      <c r="M72" s="1">
        <v>0.53649999999999998</v>
      </c>
      <c r="N72" s="1">
        <v>0.18820000000000001</v>
      </c>
      <c r="O72" s="1">
        <v>0.18659999999999999</v>
      </c>
      <c r="P72">
        <v>730000</v>
      </c>
      <c r="Q72">
        <v>0</v>
      </c>
      <c r="R72" s="1">
        <v>0</v>
      </c>
      <c r="S72">
        <v>34669</v>
      </c>
      <c r="T72" s="1">
        <v>4.7500000000000001E-2</v>
      </c>
    </row>
    <row r="73" spans="1:20" x14ac:dyDescent="0.3">
      <c r="A73" t="s">
        <v>21</v>
      </c>
      <c r="B73" t="s">
        <v>33</v>
      </c>
      <c r="C73" t="s">
        <v>43</v>
      </c>
      <c r="D73">
        <v>153.61000000000001</v>
      </c>
      <c r="E73">
        <v>172.32</v>
      </c>
      <c r="F73">
        <v>159.72</v>
      </c>
      <c r="G73">
        <v>159.74</v>
      </c>
      <c r="H73" s="1">
        <v>0.77180000000000004</v>
      </c>
      <c r="I73" s="1">
        <v>0.80930000000000002</v>
      </c>
      <c r="J73" s="1">
        <v>0.78449999999999998</v>
      </c>
      <c r="K73" s="1">
        <v>0.78469999999999995</v>
      </c>
      <c r="L73" s="1">
        <v>0.32840000000000003</v>
      </c>
      <c r="M73" s="1">
        <v>0.34849999999999998</v>
      </c>
      <c r="N73" s="1">
        <f>33.03% * 1.3</f>
        <v>0.42939000000000005</v>
      </c>
      <c r="O73" s="1">
        <v>0.32929999999999998</v>
      </c>
      <c r="P73">
        <v>730000</v>
      </c>
      <c r="Q73">
        <v>0</v>
      </c>
      <c r="R73" s="1">
        <v>0</v>
      </c>
      <c r="S73">
        <v>33438</v>
      </c>
      <c r="T73" s="1">
        <v>4.58E-2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2715-D89F-40AF-BA0E-CBD98805498F}">
  <dimension ref="A1:C10"/>
  <sheetViews>
    <sheetView workbookViewId="0">
      <selection activeCell="G10" sqref="G10"/>
    </sheetView>
  </sheetViews>
  <sheetFormatPr defaultRowHeight="14.4" x14ac:dyDescent="0.3"/>
  <cols>
    <col min="1" max="2" width="10.109375" customWidth="1"/>
  </cols>
  <sheetData>
    <row r="1" spans="1:3" x14ac:dyDescent="0.3">
      <c r="A1" t="s">
        <v>101</v>
      </c>
      <c r="B1" t="s">
        <v>102</v>
      </c>
      <c r="C1" t="s">
        <v>103</v>
      </c>
    </row>
    <row r="2" spans="1:3" x14ac:dyDescent="0.3">
      <c r="A2" t="s">
        <v>20</v>
      </c>
      <c r="B2">
        <f>SUM('2000Year'!N34:N41)/8</f>
        <v>0.18870125000000001</v>
      </c>
      <c r="C2">
        <f>SUM('2000Year'!M34:M41)/8</f>
        <v>0.18891250000000001</v>
      </c>
    </row>
    <row r="3" spans="1:3" x14ac:dyDescent="0.3">
      <c r="A3" t="s">
        <v>21</v>
      </c>
      <c r="B3">
        <f>SUM('2000Year'!N66:N73)/8</f>
        <v>0.19284249999999997</v>
      </c>
      <c r="C3">
        <f>SUM('2000Year'!M66:M73)/8</f>
        <v>0.32926249999999996</v>
      </c>
    </row>
    <row r="4" spans="1:3" x14ac:dyDescent="0.3">
      <c r="A4" t="s">
        <v>23</v>
      </c>
      <c r="B4">
        <f>SUM('2000Year'!N10:N17)/8</f>
        <v>0.19602499999999998</v>
      </c>
      <c r="C4">
        <f>SUM('2000Year'!M10:M17)/8</f>
        <v>0.18207499999999999</v>
      </c>
    </row>
    <row r="5" spans="1:3" x14ac:dyDescent="0.3">
      <c r="A5" t="s">
        <v>25</v>
      </c>
      <c r="B5">
        <f>SUM('2000Year'!N26:N33)/8</f>
        <v>0.20259000000000002</v>
      </c>
      <c r="C5">
        <f>SUM('2000Year'!M26:M33)/8</f>
        <v>0.38218749999999996</v>
      </c>
    </row>
    <row r="6" spans="1:3" x14ac:dyDescent="0.3">
      <c r="A6" t="s">
        <v>27</v>
      </c>
      <c r="B6">
        <f>SUM('2000Year'!N2:N9)/8</f>
        <v>0.2198175</v>
      </c>
      <c r="C6">
        <f>SUM('2000Year'!M2:M9)/8</f>
        <v>0.40963749999999999</v>
      </c>
    </row>
    <row r="7" spans="1:3" x14ac:dyDescent="0.3">
      <c r="A7" t="s">
        <v>29</v>
      </c>
      <c r="B7">
        <f>SUM('2000Year'!N18:N25)/8</f>
        <v>0.25478375000000003</v>
      </c>
      <c r="C7">
        <f>SUM('2000Year'!M18:M25)/8</f>
        <v>0.43285000000000001</v>
      </c>
    </row>
    <row r="8" spans="1:3" x14ac:dyDescent="0.3">
      <c r="A8" t="s">
        <v>31</v>
      </c>
      <c r="B8">
        <f>SUM('2000Year'!N50:N57)/8</f>
        <v>0.31527749999999999</v>
      </c>
      <c r="C8">
        <f>SUM('2000Year'!M50:M57)/8</f>
        <v>0.53375000000000006</v>
      </c>
    </row>
    <row r="9" spans="1:3" x14ac:dyDescent="0.3">
      <c r="A9" t="s">
        <v>33</v>
      </c>
      <c r="B9">
        <f>SUM('2000Year'!N58:N65)/8</f>
        <v>0.41610125000000003</v>
      </c>
      <c r="C9">
        <f>SUM('2000Year'!M58:M65)/8</f>
        <v>0.69604999999999995</v>
      </c>
    </row>
    <row r="10" spans="1:3" x14ac:dyDescent="0.3">
      <c r="A10" t="s">
        <v>35</v>
      </c>
      <c r="B10">
        <f>SUM('2000Year'!N42:N49)/8</f>
        <v>0.52586375000000007</v>
      </c>
      <c r="C10">
        <f>SUM('2000Year'!M42:M49)/8</f>
        <v>0.77128750000000013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2000Year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Xu, Ziyue</cp:lastModifiedBy>
  <dcterms:created xsi:type="dcterms:W3CDTF">2026-10-03T16:54:39Z</dcterms:created>
  <dcterms:modified xsi:type="dcterms:W3CDTF">2026-10-03T17:18:57Z</dcterms:modified>
</cp:coreProperties>
</file>